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-vba\vba-files\"/>
    </mc:Choice>
  </mc:AlternateContent>
  <xr:revisionPtr revIDLastSave="0" documentId="13_ncr:1_{C0DF5F85-D32F-45D8-998F-932F7AAA8E49}" xr6:coauthVersionLast="47" xr6:coauthVersionMax="47" xr10:uidLastSave="{00000000-0000-0000-0000-000000000000}"/>
  <bookViews>
    <workbookView xWindow="-120" yWindow="-120" windowWidth="38640" windowHeight="21120" xr2:uid="{8353EE9E-DC74-4A3A-8109-005E100CDCC1}"/>
  </bookViews>
  <sheets>
    <sheet name="データ取得" sheetId="1" r:id="rId1"/>
    <sheet name="データ登録" sheetId="5" r:id="rId2"/>
    <sheet name="月次データ" sheetId="4" r:id="rId3"/>
    <sheet name="マスタ" sheetId="2" r:id="rId4"/>
    <sheet name="改善希望,提案" sheetId="6" r:id="rId5"/>
    <sheet name="Sheet3" sheetId="3" r:id="rId6"/>
  </sheets>
  <definedNames>
    <definedName name="_xleta.T" hidden="1" xlm="1">#NAME?</definedName>
    <definedName name="ClassList">マスタ!$A$5:$A$17</definedName>
    <definedName name="ClassList_区分">マスタ!$A$19:$A$32</definedName>
    <definedName name="KeyMatrix">マスタ!$B$5:$K$16</definedName>
    <definedName name="KeyMatrix_区分">マスタ!$B$19:$K$32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0" i="1" l="1" a="1"/>
  <c r="F10" i="1" s="1"/>
  <c r="L8" i="5"/>
  <c r="M8" i="5"/>
  <c r="N8" i="5"/>
  <c r="L9" i="5"/>
  <c r="M9" i="5"/>
  <c r="N9" i="5"/>
  <c r="L10" i="5"/>
  <c r="M10" i="5"/>
  <c r="N10" i="5"/>
  <c r="L11" i="5"/>
  <c r="M11" i="5"/>
  <c r="N11" i="5"/>
  <c r="K9" i="5"/>
  <c r="K10" i="5"/>
  <c r="K11" i="5"/>
  <c r="K8" i="5"/>
  <c r="L41" i="4" l="1"/>
  <c r="M41" i="4"/>
  <c r="N41" i="4"/>
  <c r="D3" i="4" l="1"/>
  <c r="D4" i="4"/>
  <c r="C35" i="4"/>
  <c r="C36" i="4"/>
  <c r="C37" i="4"/>
  <c r="C38" i="4"/>
  <c r="C33" i="4"/>
  <c r="K41" i="4"/>
  <c r="G41" i="4"/>
  <c r="H41" i="4"/>
  <c r="I41" i="4"/>
  <c r="J41" i="4"/>
  <c r="F41" i="4"/>
  <c r="E41" i="4" l="1"/>
  <c r="C2" i="4" s="1"/>
  <c r="C40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4" i="4"/>
  <c r="C39" i="4"/>
  <c r="C11" i="4"/>
  <c r="C10" i="4"/>
  <c r="H8" i="1" a="1"/>
  <c r="H8" i="1" s="1"/>
  <c r="H9" i="1" a="1"/>
  <c r="H9" i="1" s="1"/>
  <c r="H10" i="1" a="1"/>
  <c r="H10" i="1" s="1"/>
  <c r="H11" i="1" a="1"/>
  <c r="H11" i="1" s="1"/>
  <c r="D3" i="5"/>
  <c r="E3" i="5" s="1"/>
  <c r="F22" i="1" a="1"/>
  <c r="F22" i="1" s="1"/>
  <c r="H22" i="1" a="1"/>
  <c r="H22" i="1" s="1"/>
  <c r="F19" i="1" a="1"/>
  <c r="F19" i="1" s="1"/>
  <c r="H19" i="1" a="1"/>
  <c r="H19" i="1" s="1"/>
  <c r="F20" i="1" a="1"/>
  <c r="F20" i="1" s="1"/>
  <c r="H20" i="1" a="1"/>
  <c r="H20" i="1" s="1"/>
  <c r="F21" i="1" a="1"/>
  <c r="F21" i="1" s="1"/>
  <c r="H21" i="1" a="1"/>
  <c r="H21" i="1" s="1"/>
  <c r="F14" i="1" a="1"/>
  <c r="F14" i="1" s="1"/>
  <c r="H14" i="1" a="1"/>
  <c r="H14" i="1" s="1"/>
  <c r="F15" i="1" a="1"/>
  <c r="F15" i="1" s="1"/>
  <c r="H15" i="1" a="1"/>
  <c r="H15" i="1" s="1"/>
  <c r="F16" i="1" a="1"/>
  <c r="F16" i="1" s="1"/>
  <c r="H16" i="1" a="1"/>
  <c r="H16" i="1" s="1"/>
  <c r="F17" i="1" a="1"/>
  <c r="F17" i="1" s="1"/>
  <c r="H17" i="1" a="1"/>
  <c r="H17" i="1" s="1"/>
  <c r="F18" i="1" a="1"/>
  <c r="F18" i="1" s="1"/>
  <c r="H18" i="1" a="1"/>
  <c r="H18" i="1" s="1"/>
  <c r="F8" i="1" a="1"/>
  <c r="F8" i="1" s="1"/>
  <c r="F9" i="1" a="1"/>
  <c r="F9" i="1" s="1"/>
  <c r="H12" i="1" a="1"/>
  <c r="H12" i="1" s="1"/>
  <c r="H13" i="1" a="1"/>
  <c r="H13" i="1" s="1"/>
  <c r="B11" i="4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B22" i="4" s="1"/>
  <c r="B23" i="4" s="1"/>
  <c r="B24" i="4" s="1"/>
  <c r="B25" i="4" s="1"/>
  <c r="B26" i="4" s="1"/>
  <c r="B27" i="4" s="1"/>
  <c r="B28" i="4" s="1"/>
  <c r="B29" i="4" s="1"/>
  <c r="B30" i="4" s="1"/>
  <c r="B31" i="4" s="1"/>
  <c r="B32" i="4" s="1"/>
  <c r="B33" i="4" s="1"/>
  <c r="B34" i="4" s="1"/>
  <c r="B35" i="4" s="1"/>
  <c r="B36" i="4" s="1"/>
  <c r="B37" i="4" s="1"/>
  <c r="B38" i="4" s="1"/>
  <c r="B39" i="4" s="1"/>
  <c r="B40" i="4" s="1"/>
  <c r="F11" i="1" a="1"/>
  <c r="F11" i="1" s="1"/>
  <c r="F12" i="1" a="1"/>
  <c r="F12" i="1" s="1"/>
  <c r="F13" i="1" a="1"/>
  <c r="F13" i="1" s="1"/>
  <c r="C3" i="1"/>
  <c r="D3" i="1" s="1"/>
  <c r="E10" i="5" l="1"/>
  <c r="E9" i="5"/>
  <c r="E8" i="5"/>
  <c r="O41" i="4"/>
  <c r="E16" i="5"/>
  <c r="E17" i="5"/>
  <c r="E14" i="5"/>
  <c r="E12" i="5"/>
  <c r="E11" i="5"/>
  <c r="E13" i="5"/>
  <c r="E15" i="5"/>
  <c r="D2" i="4"/>
  <c r="C7" i="4"/>
  <c r="E18" i="5" l="1"/>
  <c r="E19" i="5" s="1"/>
  <c r="F2" i="4"/>
  <c r="D7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AKIHIRO</author>
  </authors>
  <commentList>
    <comment ref="E7" authorId="0" shapeId="0" xr:uid="{29C50EC1-D76F-4355-8B6F-CD74D38B6DC4}">
      <text>
        <r>
          <rPr>
            <b/>
            <sz val="9"/>
            <color indexed="81"/>
            <rFont val="MS P ゴシック"/>
            <family val="3"/>
            <charset val="128"/>
          </rPr>
          <t>直入力不可</t>
        </r>
      </text>
    </comment>
  </commentList>
</comments>
</file>

<file path=xl/sharedStrings.xml><?xml version="1.0" encoding="utf-8"?>
<sst xmlns="http://schemas.openxmlformats.org/spreadsheetml/2006/main" count="167" uniqueCount="85">
  <si>
    <t>任意日付</t>
    <rPh sb="0" eb="4">
      <t>ニンイヒヅケ</t>
    </rPh>
    <phoneticPr fontId="1"/>
  </si>
  <si>
    <t>機能： Excelセルから日付を読み取り、Outlookから該当日の予定を取得して
      　  シートに一覧表示します。</t>
    <rPh sb="0" eb="2">
      <t>キノウ</t>
    </rPh>
    <phoneticPr fontId="1"/>
  </si>
  <si>
    <t>←空欄時には"取得日"に前営業日が入力されます。</t>
    <rPh sb="1" eb="4">
      <t>クウランジ</t>
    </rPh>
    <rPh sb="7" eb="10">
      <t>シュトクビ</t>
    </rPh>
    <rPh sb="12" eb="16">
      <t>ゼンエイギョウビ</t>
    </rPh>
    <rPh sb="17" eb="19">
      <t>ニュウリョク</t>
    </rPh>
    <phoneticPr fontId="1"/>
  </si>
  <si>
    <t>取得日</t>
    <rPh sb="0" eb="2">
      <t>シュトク</t>
    </rPh>
    <rPh sb="2" eb="3">
      <t>ビ</t>
    </rPh>
    <phoneticPr fontId="1"/>
  </si>
  <si>
    <t>No.</t>
    <phoneticPr fontId="1"/>
  </si>
  <si>
    <t>分類1</t>
    <rPh sb="0" eb="2">
      <t>ブンルイ</t>
    </rPh>
    <phoneticPr fontId="1"/>
  </si>
  <si>
    <t>分類2</t>
    <rPh sb="0" eb="2">
      <t>ブンルイ</t>
    </rPh>
    <phoneticPr fontId="1"/>
  </si>
  <si>
    <t>デジタル</t>
    <phoneticPr fontId="1"/>
  </si>
  <si>
    <t>デジ</t>
    <phoneticPr fontId="1"/>
  </si>
  <si>
    <t>山口</t>
    <rPh sb="0" eb="2">
      <t>ヤマグチ</t>
    </rPh>
    <phoneticPr fontId="1"/>
  </si>
  <si>
    <t>「=LET(
    t,   UPPER(D8), 
    valid, IF(KeyMatrix&lt;&gt;"", --ISNUMBER(SEARCH(UPPER(KeyMatrix), t)), 0),
    hits, BYROW(valid, LAMBDA(r, OR(r))),
    idx,  XMATCH(TRUE, hits, 0),
    IFERROR(INDEX(ClassList, idx), "")
)」</t>
    <phoneticPr fontId="1"/>
  </si>
  <si>
    <t>[IFERROR(
    INDEX(ClassList,
          MATCH(1,
                --(MMULT(
                       --( (KeyMatrix&lt;&gt;"") * ISNUMBER(SEARCH(UPPER(KeyMatrix), UPPER(D8))) ),
                       TRANSPOSE(COLUMN(KeyMatrix)^0)
                   )&gt;0),
                0)
         ),
    "")</t>
    <phoneticPr fontId="1"/>
  </si>
  <si>
    <t>登録ワード１</t>
    <rPh sb="0" eb="2">
      <t>トウロク</t>
    </rPh>
    <phoneticPr fontId="1"/>
  </si>
  <si>
    <t>登録ワード２</t>
    <rPh sb="0" eb="2">
      <t>トウロク</t>
    </rPh>
    <phoneticPr fontId="1"/>
  </si>
  <si>
    <t>登録ワード３</t>
    <rPh sb="0" eb="2">
      <t>トウロク</t>
    </rPh>
    <phoneticPr fontId="1"/>
  </si>
  <si>
    <t>登録ワード４</t>
    <rPh sb="0" eb="2">
      <t>トウロク</t>
    </rPh>
    <phoneticPr fontId="1"/>
  </si>
  <si>
    <t>登録ワード５</t>
    <rPh sb="0" eb="2">
      <t>トウロク</t>
    </rPh>
    <phoneticPr fontId="1"/>
  </si>
  <si>
    <t>登録ワード６</t>
    <rPh sb="0" eb="2">
      <t>トウロク</t>
    </rPh>
    <phoneticPr fontId="1"/>
  </si>
  <si>
    <t>登録ワード７</t>
    <rPh sb="0" eb="2">
      <t>トウロク</t>
    </rPh>
    <phoneticPr fontId="1"/>
  </si>
  <si>
    <t>登録ワード８</t>
    <rPh sb="0" eb="2">
      <t>トウロク</t>
    </rPh>
    <phoneticPr fontId="1"/>
  </si>
  <si>
    <t>登録ワード９</t>
    <rPh sb="0" eb="2">
      <t>トウロク</t>
    </rPh>
    <phoneticPr fontId="1"/>
  </si>
  <si>
    <t>登録ワード１０</t>
    <rPh sb="0" eb="2">
      <t>トウロク</t>
    </rPh>
    <phoneticPr fontId="1"/>
  </si>
  <si>
    <t>注目</t>
    <rPh sb="0" eb="2">
      <t>チュウモク</t>
    </rPh>
    <phoneticPr fontId="1"/>
  </si>
  <si>
    <t>E0017</t>
    <phoneticPr fontId="1"/>
  </si>
  <si>
    <t>作番</t>
    <rPh sb="0" eb="2">
      <t>サクバン</t>
    </rPh>
    <phoneticPr fontId="1"/>
  </si>
  <si>
    <t>日付</t>
    <rPh sb="0" eb="2">
      <t>ヒヅケ</t>
    </rPh>
    <phoneticPr fontId="1"/>
  </si>
  <si>
    <t>不足時間</t>
    <rPh sb="0" eb="4">
      <t>フソクジカン</t>
    </rPh>
    <phoneticPr fontId="1"/>
  </si>
  <si>
    <t>#</t>
    <phoneticPr fontId="1"/>
  </si>
  <si>
    <t>区分</t>
    <rPh sb="0" eb="2">
      <t>クブン</t>
    </rPh>
    <phoneticPr fontId="1"/>
  </si>
  <si>
    <t>[=IFERROR(
    INDEX(ClassList,
          MATCH(1,
                --(MMULT(
                       --( (KeyMatrix&lt;&gt;"") * ISNUMBER(SEARCH(UPPER(KeyMatrix), UPPER(D8))) ),
                       TRANSPOSE(COLUMN(KeyMatrix)^0)
                   )&gt;0),
                0)
         ),
    "")]</t>
    <phoneticPr fontId="1"/>
  </si>
  <si>
    <t>[=IFERROR(
    INDEX(ClassList_区分,
          MATCH(1,
                --(MMULT(
                       --( (KeyMatrix_区分&lt;&gt;"") * ISNUMBER(SEARCH(UPPER(KeyMatrix_区分), UPPER(D8))) ),
                       TRANSPOSE(COLUMN(KeyMatrix_区分)^0)
                   )&gt;0),
                0)
         ),
    "")]</t>
    <phoneticPr fontId="1"/>
  </si>
  <si>
    <t>時間</t>
    <phoneticPr fontId="1"/>
  </si>
  <si>
    <t>件名</t>
    <phoneticPr fontId="1"/>
  </si>
  <si>
    <t>会議時間</t>
    <phoneticPr fontId="1"/>
  </si>
  <si>
    <t>meeting</t>
  </si>
  <si>
    <t>test</t>
  </si>
  <si>
    <t>作番名称</t>
    <rPh sb="0" eb="2">
      <t>サクバン</t>
    </rPh>
    <rPh sb="2" eb="4">
      <t>メイショウ</t>
    </rPh>
    <phoneticPr fontId="1"/>
  </si>
  <si>
    <t>区分名称</t>
    <rPh sb="0" eb="4">
      <t>クブンメイショウ</t>
    </rPh>
    <phoneticPr fontId="1"/>
  </si>
  <si>
    <t>■参考データ</t>
    <rPh sb="1" eb="3">
      <t>サンコウ</t>
    </rPh>
    <phoneticPr fontId="1"/>
  </si>
  <si>
    <t>登録時間</t>
    <rPh sb="0" eb="4">
      <t>トウロクジカン</t>
    </rPh>
    <phoneticPr fontId="1"/>
  </si>
  <si>
    <t>登録日</t>
    <rPh sb="0" eb="3">
      <t>トウロクビ</t>
    </rPh>
    <phoneticPr fontId="1"/>
  </si>
  <si>
    <t>作番外</t>
    <rPh sb="0" eb="2">
      <t>サクバン</t>
    </rPh>
    <rPh sb="2" eb="3">
      <t>ガイ</t>
    </rPh>
    <phoneticPr fontId="1"/>
  </si>
  <si>
    <t>登録時間</t>
    <rPh sb="0" eb="2">
      <t>トウロク</t>
    </rPh>
    <rPh sb="2" eb="4">
      <t>ジカン</t>
    </rPh>
    <phoneticPr fontId="1"/>
  </si>
  <si>
    <t>任意時間</t>
    <rPh sb="0" eb="4">
      <t>ニンイジカン</t>
    </rPh>
    <phoneticPr fontId="1"/>
  </si>
  <si>
    <t>←空欄時には"登録日"に前営業日が入力されます。</t>
    <rPh sb="1" eb="4">
      <t>クウランジ</t>
    </rPh>
    <rPh sb="7" eb="9">
      <t>トウロク</t>
    </rPh>
    <rPh sb="9" eb="10">
      <t>ビ</t>
    </rPh>
    <rPh sb="12" eb="16">
      <t>ゼンエイギョウビ</t>
    </rPh>
    <rPh sb="17" eb="19">
      <t>ニュウリョク</t>
    </rPh>
    <phoneticPr fontId="1"/>
  </si>
  <si>
    <t>meeting</t>
    <phoneticPr fontId="1"/>
  </si>
  <si>
    <t>作番外</t>
    <rPh sb="0" eb="3">
      <t>サクバンガイ</t>
    </rPh>
    <phoneticPr fontId="1"/>
  </si>
  <si>
    <t>3S</t>
  </si>
  <si>
    <t>3S</t>
    <phoneticPr fontId="1"/>
  </si>
  <si>
    <t>2S</t>
  </si>
  <si>
    <t>2S</t>
    <phoneticPr fontId="1"/>
  </si>
  <si>
    <t>test</t>
    <phoneticPr fontId="1"/>
  </si>
  <si>
    <t>合計</t>
    <rPh sb="0" eb="2">
      <t>ゴウケイ</t>
    </rPh>
    <phoneticPr fontId="1"/>
  </si>
  <si>
    <t>月次合計</t>
    <rPh sb="0" eb="1">
      <t>ツキ</t>
    </rPh>
    <rPh sb="2" eb="4">
      <t>ゴウケイ</t>
    </rPh>
    <phoneticPr fontId="1"/>
  </si>
  <si>
    <t>-</t>
    <phoneticPr fontId="1"/>
  </si>
  <si>
    <t>1S</t>
    <phoneticPr fontId="1"/>
  </si>
  <si>
    <t>TY11</t>
    <phoneticPr fontId="1"/>
  </si>
  <si>
    <t>C21</t>
    <phoneticPr fontId="1"/>
  </si>
  <si>
    <t>2D9</t>
    <phoneticPr fontId="1"/>
  </si>
  <si>
    <t>V12</t>
  </si>
  <si>
    <r>
      <t>時間</t>
    </r>
    <r>
      <rPr>
        <sz val="9"/>
        <color theme="1"/>
        <rFont val="游ゴシック"/>
        <family val="3"/>
        <charset val="128"/>
        <scheme val="minor"/>
      </rPr>
      <t>(HHMM)</t>
    </r>
    <rPh sb="0" eb="2">
      <t>ジカン</t>
    </rPh>
    <phoneticPr fontId="1"/>
  </si>
  <si>
    <t>分(m)</t>
    <rPh sb="0" eb="1">
      <t>フン</t>
    </rPh>
    <phoneticPr fontId="1"/>
  </si>
  <si>
    <t>目標時間(m)</t>
    <rPh sb="0" eb="2">
      <t>モクヒョウ</t>
    </rPh>
    <rPh sb="2" eb="4">
      <t>ジカン</t>
    </rPh>
    <phoneticPr fontId="1"/>
  </si>
  <si>
    <t>不足時間(m)</t>
    <rPh sb="0" eb="4">
      <t>フソクジカン</t>
    </rPh>
    <phoneticPr fontId="1"/>
  </si>
  <si>
    <t>■データ取得用シート</t>
    <rPh sb="4" eb="6">
      <t>シュトク</t>
    </rPh>
    <rPh sb="6" eb="7">
      <t>ヨウ</t>
    </rPh>
    <phoneticPr fontId="1"/>
  </si>
  <si>
    <t>■日次登録シート</t>
    <rPh sb="1" eb="3">
      <t>ニチジ</t>
    </rPh>
    <rPh sb="3" eb="5">
      <t>トウロク</t>
    </rPh>
    <phoneticPr fontId="1"/>
  </si>
  <si>
    <t>目標時間</t>
    <rPh sb="0" eb="2">
      <t>モクヒョウ</t>
    </rPh>
    <rPh sb="2" eb="4">
      <t>ジカン</t>
    </rPh>
    <phoneticPr fontId="1"/>
  </si>
  <si>
    <t>■Outlook取得データ</t>
    <rPh sb="8" eb="10">
      <t>シュトク</t>
    </rPh>
    <phoneticPr fontId="1"/>
  </si>
  <si>
    <t>HHMM</t>
    <phoneticPr fontId="1"/>
  </si>
  <si>
    <t>分</t>
    <rPh sb="0" eb="1">
      <t>フン</t>
    </rPh>
    <phoneticPr fontId="1"/>
  </si>
  <si>
    <t>デバッグ用</t>
    <rPh sb="4" eb="5">
      <t>ヨウ</t>
    </rPh>
    <phoneticPr fontId="1"/>
  </si>
  <si>
    <t>＃</t>
    <phoneticPr fontId="1"/>
  </si>
  <si>
    <t>要望、提案</t>
    <rPh sb="0" eb="2">
      <t>ヨウボウ</t>
    </rPh>
    <rPh sb="3" eb="5">
      <t>テイアン</t>
    </rPh>
    <phoneticPr fontId="1"/>
  </si>
  <si>
    <t>操作の一例</t>
    <rPh sb="0" eb="2">
      <t>ソウサ</t>
    </rPh>
    <rPh sb="3" eb="5">
      <t>イチレイ</t>
    </rPh>
    <phoneticPr fontId="1"/>
  </si>
  <si>
    <t>メモ</t>
    <phoneticPr fontId="1"/>
  </si>
  <si>
    <t>■デバッグ用メモ</t>
    <rPh sb="5" eb="6">
      <t>ヨウ</t>
    </rPh>
    <phoneticPr fontId="1"/>
  </si>
  <si>
    <t>hhmm</t>
    <phoneticPr fontId="1"/>
  </si>
  <si>
    <t>0900-1030</t>
  </si>
  <si>
    <t>1300-1400</t>
  </si>
  <si>
    <t>1630-1700</t>
  </si>
  <si>
    <t>マスタ</t>
    <phoneticPr fontId="1"/>
  </si>
  <si>
    <t>0130</t>
  </si>
  <si>
    <t>test123</t>
  </si>
  <si>
    <t>0100</t>
  </si>
  <si>
    <t>0030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</si>
</sst>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mm/dd"/>
    <numFmt numFmtId="177" formatCode="m&quot;月&quot;d&quot;日&quot;\(aaa\)"/>
    <numFmt numFmtId="178" formatCode="hhmm"/>
    <numFmt numFmtId="179" formatCode="0000"/>
  </numFmts>
  <fonts count="1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6"/>
      <color theme="1"/>
      <name val="游ゴシック"/>
      <family val="2"/>
      <charset val="128"/>
      <scheme val="minor"/>
    </font>
    <font>
      <b/>
      <sz val="8"/>
      <color theme="1"/>
      <name val="游ゴシック"/>
      <family val="3"/>
      <charset val="128"/>
      <scheme val="minor"/>
    </font>
    <font>
      <sz val="16"/>
      <color theme="1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sz val="9"/>
      <color indexed="81"/>
      <name val="MS P ゴシック"/>
      <family val="3"/>
      <charset val="128"/>
    </font>
    <font>
      <sz val="11"/>
      <color rgb="FF000000"/>
      <name val="游ゴシック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9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Protection="1">
      <alignment vertical="center"/>
      <protection locked="0"/>
    </xf>
    <xf numFmtId="0" fontId="2" fillId="0" borderId="0" xfId="0" applyFont="1" applyProtection="1">
      <alignment vertical="center"/>
      <protection locked="0"/>
    </xf>
    <xf numFmtId="176" fontId="2" fillId="0" borderId="5" xfId="0" applyNumberFormat="1" applyFont="1" applyBorder="1" applyProtection="1">
      <alignment vertical="center"/>
      <protection locked="0"/>
    </xf>
    <xf numFmtId="0" fontId="3" fillId="0" borderId="4" xfId="0" applyFont="1" applyBorder="1" applyProtection="1">
      <alignment vertical="center"/>
      <protection locked="0"/>
    </xf>
    <xf numFmtId="0" fontId="3" fillId="0" borderId="0" xfId="0" applyFont="1" applyProtection="1">
      <alignment vertical="center"/>
      <protection locked="0"/>
    </xf>
    <xf numFmtId="0" fontId="0" fillId="2" borderId="2" xfId="0" applyFill="1" applyBorder="1" applyProtection="1">
      <alignment vertical="center"/>
      <protection locked="0"/>
    </xf>
    <xf numFmtId="176" fontId="0" fillId="2" borderId="3" xfId="0" applyNumberFormat="1" applyFill="1" applyBorder="1">
      <alignment vertical="center"/>
    </xf>
    <xf numFmtId="0" fontId="4" fillId="0" borderId="0" xfId="0" applyFont="1" applyProtection="1">
      <alignment vertical="center"/>
      <protection locked="0"/>
    </xf>
    <xf numFmtId="0" fontId="0" fillId="0" borderId="1" xfId="0" applyBorder="1" applyProtection="1">
      <alignment vertical="center"/>
      <protection locked="0"/>
    </xf>
    <xf numFmtId="49" fontId="0" fillId="0" borderId="1" xfId="0" applyNumberFormat="1" applyBorder="1" applyProtection="1">
      <alignment vertical="center"/>
      <protection locked="0"/>
    </xf>
    <xf numFmtId="0" fontId="0" fillId="0" borderId="0" xfId="0" applyAlignment="1" applyProtection="1">
      <alignment vertical="center" wrapText="1"/>
      <protection locked="0"/>
    </xf>
    <xf numFmtId="0" fontId="0" fillId="0" borderId="0" xfId="0" applyAlignment="1">
      <alignment vertical="center" wrapText="1"/>
    </xf>
    <xf numFmtId="0" fontId="0" fillId="3" borderId="1" xfId="0" applyFill="1" applyBorder="1">
      <alignment vertical="center"/>
    </xf>
    <xf numFmtId="0" fontId="2" fillId="3" borderId="1" xfId="0" applyFont="1" applyFill="1" applyBorder="1" applyProtection="1">
      <alignment vertical="center"/>
      <protection locked="0"/>
    </xf>
    <xf numFmtId="0" fontId="0" fillId="0" borderId="0" xfId="0" applyAlignment="1">
      <alignment horizontal="right" vertical="center"/>
    </xf>
    <xf numFmtId="0" fontId="2" fillId="3" borderId="7" xfId="0" applyFont="1" applyFill="1" applyBorder="1" applyProtection="1">
      <alignment vertical="center"/>
      <protection locked="0"/>
    </xf>
    <xf numFmtId="0" fontId="2" fillId="3" borderId="6" xfId="0" applyFont="1" applyFill="1" applyBorder="1" applyProtection="1">
      <alignment vertical="center"/>
      <protection locked="0"/>
    </xf>
    <xf numFmtId="0" fontId="0" fillId="0" borderId="6" xfId="0" applyBorder="1" applyProtection="1">
      <alignment vertical="center"/>
      <protection locked="0"/>
    </xf>
    <xf numFmtId="0" fontId="5" fillId="3" borderId="6" xfId="0" applyFont="1" applyFill="1" applyBorder="1" applyProtection="1">
      <alignment vertical="center"/>
      <protection locked="0"/>
    </xf>
    <xf numFmtId="176" fontId="2" fillId="0" borderId="0" xfId="0" applyNumberFormat="1" applyFont="1" applyProtection="1">
      <alignment vertical="center"/>
      <protection locked="0"/>
    </xf>
    <xf numFmtId="178" fontId="0" fillId="0" borderId="1" xfId="0" applyNumberFormat="1" applyBorder="1" applyProtection="1">
      <alignment vertical="center"/>
      <protection locked="0"/>
    </xf>
    <xf numFmtId="178" fontId="0" fillId="0" borderId="1" xfId="0" applyNumberFormat="1" applyBorder="1" applyAlignment="1">
      <alignment vertical="center" wrapText="1"/>
    </xf>
    <xf numFmtId="49" fontId="0" fillId="0" borderId="0" xfId="0" applyNumberFormat="1" applyProtection="1">
      <alignment vertical="center"/>
      <protection locked="0"/>
    </xf>
    <xf numFmtId="0" fontId="0" fillId="5" borderId="11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12" xfId="0" applyFill="1" applyBorder="1">
      <alignment vertical="center"/>
    </xf>
    <xf numFmtId="0" fontId="0" fillId="3" borderId="4" xfId="0" applyFill="1" applyBorder="1">
      <alignment vertical="center"/>
    </xf>
    <xf numFmtId="0" fontId="0" fillId="3" borderId="17" xfId="0" applyFill="1" applyBorder="1">
      <alignment vertical="center"/>
    </xf>
    <xf numFmtId="0" fontId="0" fillId="3" borderId="5" xfId="0" applyFill="1" applyBorder="1">
      <alignment vertical="center"/>
    </xf>
    <xf numFmtId="0" fontId="0" fillId="5" borderId="21" xfId="0" applyFill="1" applyBorder="1">
      <alignment vertical="center"/>
    </xf>
    <xf numFmtId="0" fontId="0" fillId="3" borderId="20" xfId="0" applyFill="1" applyBorder="1">
      <alignment vertical="center"/>
    </xf>
    <xf numFmtId="178" fontId="0" fillId="0" borderId="17" xfId="0" applyNumberFormat="1" applyBorder="1" applyAlignment="1">
      <alignment vertical="center" wrapText="1"/>
    </xf>
    <xf numFmtId="0" fontId="0" fillId="2" borderId="12" xfId="0" applyFill="1" applyBorder="1">
      <alignment vertical="center"/>
    </xf>
    <xf numFmtId="0" fontId="0" fillId="2" borderId="3" xfId="0" applyFill="1" applyBorder="1">
      <alignment vertical="center"/>
    </xf>
    <xf numFmtId="0" fontId="0" fillId="0" borderId="16" xfId="0" applyBorder="1" applyProtection="1">
      <alignment vertical="center"/>
      <protection locked="0"/>
    </xf>
    <xf numFmtId="0" fontId="0" fillId="0" borderId="17" xfId="0" applyBorder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0" fontId="0" fillId="5" borderId="26" xfId="0" applyFill="1" applyBorder="1" applyAlignment="1">
      <alignment horizontal="center" vertical="center"/>
    </xf>
    <xf numFmtId="0" fontId="0" fillId="3" borderId="27" xfId="0" applyFill="1" applyBorder="1" applyAlignment="1">
      <alignment horizontal="center" vertical="center"/>
    </xf>
    <xf numFmtId="178" fontId="0" fillId="0" borderId="0" xfId="0" applyNumberFormat="1">
      <alignment vertical="center"/>
    </xf>
    <xf numFmtId="178" fontId="0" fillId="6" borderId="0" xfId="0" applyNumberFormat="1" applyFill="1">
      <alignment vertical="center"/>
    </xf>
    <xf numFmtId="0" fontId="0" fillId="5" borderId="2" xfId="0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2" fillId="0" borderId="0" xfId="0" applyFont="1">
      <alignment vertical="center"/>
    </xf>
    <xf numFmtId="0" fontId="6" fillId="0" borderId="0" xfId="0" applyFont="1">
      <alignment vertical="center"/>
    </xf>
    <xf numFmtId="178" fontId="0" fillId="0" borderId="1" xfId="0" applyNumberFormat="1" applyBorder="1">
      <alignment vertical="center"/>
    </xf>
    <xf numFmtId="176" fontId="3" fillId="0" borderId="5" xfId="0" applyNumberFormat="1" applyFont="1" applyBorder="1" applyProtection="1">
      <alignment vertical="center"/>
      <protection locked="0"/>
    </xf>
    <xf numFmtId="0" fontId="0" fillId="0" borderId="1" xfId="0" applyBorder="1" applyAlignment="1">
      <alignment horizontal="right" vertical="center"/>
    </xf>
    <xf numFmtId="0" fontId="0" fillId="2" borderId="1" xfId="0" applyFill="1" applyBorder="1">
      <alignment vertical="center"/>
    </xf>
    <xf numFmtId="178" fontId="0" fillId="0" borderId="1" xfId="0" applyNumberFormat="1" applyBorder="1" applyAlignment="1">
      <alignment horizontal="right" vertical="center"/>
    </xf>
    <xf numFmtId="0" fontId="0" fillId="0" borderId="0" xfId="0" applyAlignment="1"/>
    <xf numFmtId="178" fontId="8" fillId="0" borderId="0" xfId="0" applyNumberFormat="1" applyFont="1" applyAlignment="1">
      <alignment vertical="top"/>
    </xf>
    <xf numFmtId="0" fontId="8" fillId="0" borderId="0" xfId="0" applyFont="1" applyAlignment="1">
      <alignment vertical="top"/>
    </xf>
    <xf numFmtId="177" fontId="2" fillId="0" borderId="22" xfId="0" applyNumberFormat="1" applyFont="1" applyBorder="1">
      <alignment vertical="center"/>
    </xf>
    <xf numFmtId="177" fontId="2" fillId="0" borderId="23" xfId="0" applyNumberFormat="1" applyFont="1" applyBorder="1">
      <alignment vertical="center"/>
    </xf>
    <xf numFmtId="177" fontId="2" fillId="0" borderId="10" xfId="0" applyNumberFormat="1" applyFont="1" applyBorder="1">
      <alignment vertical="center"/>
    </xf>
    <xf numFmtId="178" fontId="2" fillId="0" borderId="24" xfId="0" applyNumberFormat="1" applyFont="1" applyBorder="1">
      <alignment vertical="center"/>
    </xf>
    <xf numFmtId="178" fontId="2" fillId="0" borderId="25" xfId="0" applyNumberFormat="1" applyFont="1" applyBorder="1">
      <alignment vertical="center"/>
    </xf>
    <xf numFmtId="0" fontId="0" fillId="5" borderId="1" xfId="0" applyFill="1" applyBorder="1">
      <alignment vertical="center"/>
    </xf>
    <xf numFmtId="178" fontId="2" fillId="0" borderId="0" xfId="0" applyNumberFormat="1" applyFont="1">
      <alignment vertical="center"/>
    </xf>
    <xf numFmtId="0" fontId="0" fillId="7" borderId="1" xfId="0" applyFill="1" applyBorder="1">
      <alignment vertical="center"/>
    </xf>
    <xf numFmtId="179" fontId="0" fillId="4" borderId="16" xfId="0" applyNumberFormat="1" applyFill="1" applyBorder="1" applyAlignment="1" applyProtection="1">
      <alignment vertical="center" wrapText="1"/>
      <protection locked="0"/>
    </xf>
    <xf numFmtId="179" fontId="0" fillId="4" borderId="5" xfId="0" applyNumberFormat="1" applyFill="1" applyBorder="1" applyAlignment="1" applyProtection="1">
      <alignment vertical="center" wrapText="1"/>
      <protection locked="0"/>
    </xf>
    <xf numFmtId="0" fontId="0" fillId="5" borderId="12" xfId="0" applyFill="1" applyBorder="1" applyProtection="1">
      <alignment vertical="center"/>
      <protection locked="0"/>
    </xf>
    <xf numFmtId="0" fontId="3" fillId="5" borderId="1" xfId="0" applyFont="1" applyFill="1" applyBorder="1" applyProtection="1">
      <alignment vertical="center"/>
      <protection locked="0"/>
    </xf>
    <xf numFmtId="0" fontId="0" fillId="5" borderId="1" xfId="0" applyFill="1" applyBorder="1" applyProtection="1">
      <alignment vertical="center"/>
      <protection locked="0"/>
    </xf>
    <xf numFmtId="177" fontId="0" fillId="0" borderId="13" xfId="0" applyNumberFormat="1" applyBorder="1" applyProtection="1">
      <alignment vertical="center"/>
      <protection locked="0"/>
    </xf>
    <xf numFmtId="178" fontId="0" fillId="0" borderId="14" xfId="0" applyNumberFormat="1" applyBorder="1" applyProtection="1">
      <alignment vertical="center"/>
      <protection locked="0"/>
    </xf>
    <xf numFmtId="178" fontId="0" fillId="0" borderId="28" xfId="0" applyNumberFormat="1" applyBorder="1" applyAlignment="1" applyProtection="1">
      <alignment horizontal="center" vertical="center"/>
      <protection locked="0"/>
    </xf>
    <xf numFmtId="178" fontId="0" fillId="0" borderId="19" xfId="0" applyNumberFormat="1" applyBorder="1" applyProtection="1">
      <alignment vertical="center"/>
      <protection locked="0"/>
    </xf>
    <xf numFmtId="178" fontId="0" fillId="0" borderId="8" xfId="0" applyNumberFormat="1" applyBorder="1" applyProtection="1">
      <alignment vertical="center"/>
      <protection locked="0"/>
    </xf>
    <xf numFmtId="177" fontId="0" fillId="0" borderId="15" xfId="0" applyNumberFormat="1" applyBorder="1" applyProtection="1">
      <alignment vertical="center"/>
      <protection locked="0"/>
    </xf>
    <xf numFmtId="178" fontId="0" fillId="0" borderId="16" xfId="0" applyNumberFormat="1" applyBorder="1" applyProtection="1">
      <alignment vertical="center"/>
      <protection locked="0"/>
    </xf>
    <xf numFmtId="178" fontId="0" fillId="0" borderId="29" xfId="0" applyNumberFormat="1" applyBorder="1" applyAlignment="1" applyProtection="1">
      <alignment horizontal="center" vertical="center"/>
      <protection locked="0"/>
    </xf>
    <xf numFmtId="178" fontId="0" fillId="0" borderId="9" xfId="0" applyNumberFormat="1" applyBorder="1" applyProtection="1">
      <alignment vertical="center"/>
      <protection locked="0"/>
    </xf>
    <xf numFmtId="178" fontId="0" fillId="0" borderId="1" xfId="0" applyNumberFormat="1" applyBorder="1" applyAlignment="1" applyProtection="1">
      <alignment vertical="center" wrapText="1"/>
      <protection locked="0"/>
    </xf>
    <xf numFmtId="178" fontId="0" fillId="0" borderId="0" xfId="0" applyNumberFormat="1" applyProtection="1">
      <alignment vertical="center"/>
      <protection locked="0"/>
    </xf>
    <xf numFmtId="177" fontId="0" fillId="0" borderId="4" xfId="0" applyNumberFormat="1" applyBorder="1" applyProtection="1">
      <alignment vertical="center"/>
      <protection locked="0"/>
    </xf>
    <xf numFmtId="178" fontId="0" fillId="0" borderId="27" xfId="0" applyNumberFormat="1" applyBorder="1" applyAlignment="1" applyProtection="1">
      <alignment horizontal="center" vertical="center"/>
      <protection locked="0"/>
    </xf>
    <xf numFmtId="178" fontId="0" fillId="0" borderId="20" xfId="0" applyNumberFormat="1" applyBorder="1" applyProtection="1">
      <alignment vertical="center"/>
      <protection locked="0"/>
    </xf>
    <xf numFmtId="178" fontId="0" fillId="0" borderId="17" xfId="0" applyNumberFormat="1" applyBorder="1" applyProtection="1">
      <alignment vertical="center"/>
      <protection locked="0"/>
    </xf>
    <xf numFmtId="178" fontId="0" fillId="0" borderId="5" xfId="0" applyNumberFormat="1" applyBorder="1" applyProtection="1">
      <alignment vertical="center"/>
      <protection locked="0"/>
    </xf>
    <xf numFmtId="0" fontId="0" fillId="5" borderId="18" xfId="0" applyFill="1" applyBorder="1" applyProtection="1">
      <alignment vertical="center"/>
      <protection locked="0"/>
    </xf>
    <xf numFmtId="0" fontId="0" fillId="5" borderId="3" xfId="0" applyFill="1" applyBorder="1" applyProtection="1">
      <alignment vertical="center"/>
      <protection locked="0"/>
    </xf>
    <xf numFmtId="0" fontId="0" fillId="0" borderId="7" xfId="0" applyBorder="1">
      <alignment vertical="center"/>
    </xf>
    <xf numFmtId="0" fontId="0" fillId="0" borderId="0" xfId="0" applyAlignment="1" applyProtection="1">
      <alignment vertical="top" wrapText="1"/>
      <protection locked="0"/>
    </xf>
  </cellXfs>
  <cellStyles count="1">
    <cellStyle name="標準" xfId="0" builtinId="0"/>
  </cellStyles>
  <dxfs count="1"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955456</xdr:colOff>
          <xdr:row>1</xdr:row>
          <xdr:rowOff>447347</xdr:rowOff>
        </xdr:from>
        <xdr:to>
          <xdr:col>3</xdr:col>
          <xdr:colOff>1753586</xdr:colOff>
          <xdr:row>2</xdr:row>
          <xdr:rowOff>140576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データ取得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438150</xdr:colOff>
          <xdr:row>0</xdr:row>
          <xdr:rowOff>314325</xdr:rowOff>
        </xdr:from>
        <xdr:to>
          <xdr:col>7</xdr:col>
          <xdr:colOff>771525</xdr:colOff>
          <xdr:row>2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コピー&amp;転記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561975</xdr:colOff>
          <xdr:row>0</xdr:row>
          <xdr:rowOff>314325</xdr:rowOff>
        </xdr:from>
        <xdr:to>
          <xdr:col>6</xdr:col>
          <xdr:colOff>0</xdr:colOff>
          <xdr:row>2</xdr:row>
          <xdr:rowOff>142875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日次クリア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omments" Target="../comments1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5EC28-F2F3-43E3-A36D-60222CF0D683}">
  <sheetPr codeName="Sheet1"/>
  <dimension ref="A1:I25"/>
  <sheetViews>
    <sheetView showGridLines="0" tabSelected="1" zoomScale="145" zoomScaleNormal="145" workbookViewId="0">
      <selection activeCell="F5" sqref="F5"/>
    </sheetView>
  </sheetViews>
  <sheetFormatPr defaultRowHeight="18.75"/>
  <cols>
    <col min="1" max="1" width="3" style="2" customWidth="1"/>
    <col min="2" max="2" width="8.5" style="2" customWidth="1"/>
    <col min="3" max="3" width="10.375" style="2" bestFit="1" customWidth="1"/>
    <col min="4" max="4" width="42" style="2" customWidth="1"/>
    <col min="5" max="5" width="9.25" style="2" bestFit="1" customWidth="1"/>
    <col min="6" max="6" width="9.125" style="2" customWidth="1"/>
    <col min="7" max="7" width="9.75" style="2" customWidth="1"/>
    <col min="8" max="8" width="10.375" style="2" customWidth="1"/>
    <col min="9" max="9" width="10.75" style="2" bestFit="1" customWidth="1"/>
    <col min="10" max="16384" width="9" style="2"/>
  </cols>
  <sheetData>
    <row r="1" spans="1:9" ht="28.5" customHeight="1">
      <c r="A1" s="9" t="s">
        <v>64</v>
      </c>
    </row>
    <row r="2" spans="1:9" ht="49.5" customHeight="1" thickBot="1">
      <c r="B2" s="88" t="s">
        <v>1</v>
      </c>
      <c r="C2" s="88"/>
      <c r="D2" s="88"/>
      <c r="E2" s="88"/>
      <c r="F2" s="3"/>
      <c r="G2" s="3"/>
      <c r="H2" s="3"/>
      <c r="I2" s="3"/>
    </row>
    <row r="3" spans="1:9">
      <c r="B3" s="7" t="s">
        <v>3</v>
      </c>
      <c r="C3" s="8">
        <f ca="1">IF($C$4&lt;&gt;"",$C$4,WORKDAY(TODAY(),-1))</f>
        <v>45861</v>
      </c>
      <c r="D3" s="2" t="str">
        <f ca="1">TEXT(C3,"aaaa")</f>
        <v>水曜日</v>
      </c>
      <c r="E3" s="24"/>
    </row>
    <row r="4" spans="1:9" ht="19.5" thickBot="1">
      <c r="B4" s="5" t="s">
        <v>0</v>
      </c>
      <c r="C4" s="4">
        <v>45861</v>
      </c>
      <c r="D4" s="6" t="s">
        <v>2</v>
      </c>
    </row>
    <row r="6" spans="1:9">
      <c r="B6" s="3" t="s">
        <v>67</v>
      </c>
      <c r="C6" s="3"/>
      <c r="D6" s="3"/>
    </row>
    <row r="7" spans="1:9">
      <c r="B7" s="15" t="s">
        <v>4</v>
      </c>
      <c r="C7" s="15" t="s">
        <v>31</v>
      </c>
      <c r="D7" s="15" t="s">
        <v>32</v>
      </c>
      <c r="E7" s="15" t="s">
        <v>33</v>
      </c>
      <c r="F7" s="17" t="s">
        <v>24</v>
      </c>
      <c r="G7" s="20"/>
      <c r="H7" s="17" t="s">
        <v>28</v>
      </c>
      <c r="I7" s="18"/>
    </row>
    <row r="8" spans="1:9">
      <c r="B8" s="10">
        <v>1</v>
      </c>
      <c r="C8" s="10" t="s">
        <v>77</v>
      </c>
      <c r="D8" s="11" t="s">
        <v>34</v>
      </c>
      <c r="E8" s="11" t="s">
        <v>81</v>
      </c>
      <c r="F8" s="87" t="str">
        <f t="array" ref="F8">IFERROR(
    INDEX(ClassList,
          MATCH(1,
                --(MMULT(
                       --( (KeyMatrix&lt;&gt;"") * ISNUMBER(SEARCH(UPPER(KeyMatrix), UPPER(D8))) ),
                       TRANSPOSE(COLUMN(KeyMatrix)^0)
                   )&gt;0),
                0)
         ),
    "")</f>
        <v>E0017</v>
      </c>
      <c r="G8" s="19"/>
      <c r="H8" s="87" t="str">
        <f t="array" ref="H8">IFERROR(
    INDEX(ClassList_区分,
          MATCH(1,
                --(MMULT(
                       --( (KeyMatrix_区分&lt;&gt;"") * ISNUMBER(SEARCH(UPPER(KeyMatrix_区分), UPPER(D8))) ),
                       TRANSPOSE(COLUMN(KeyMatrix_区分)^0)
                   )&gt;0),
                0)
         ),
    "")</f>
        <v>3S</v>
      </c>
      <c r="I8" s="19"/>
    </row>
    <row r="9" spans="1:9">
      <c r="B9" s="10">
        <v>2</v>
      </c>
      <c r="C9" s="10" t="s">
        <v>78</v>
      </c>
      <c r="D9" s="11" t="s">
        <v>82</v>
      </c>
      <c r="E9" s="11" t="s">
        <v>83</v>
      </c>
      <c r="F9" s="87" t="str">
        <f t="array" ref="F9">IFERROR(
    INDEX(ClassList,
          MATCH(1,
                --(MMULT(
                       --( (KeyMatrix&lt;&gt;"") * ISNUMBER(SEARCH(UPPER(KeyMatrix), UPPER(D9))) ),
                       TRANSPOSE(COLUMN(KeyMatrix)^0)
                   )&gt;0),
                0)
         ),
    "")</f>
        <v>E0017</v>
      </c>
      <c r="G9" s="19"/>
      <c r="H9" s="87" t="str">
        <f t="array" ref="H9">IFERROR(
    INDEX(ClassList_区分,
          MATCH(1,
                --(MMULT(
                       --( (KeyMatrix_区分&lt;&gt;"") * ISNUMBER(SEARCH(UPPER(KeyMatrix_区分), UPPER(D9))) ),
                       TRANSPOSE(COLUMN(KeyMatrix_区分)^0)
                   )&gt;0),
                0)
         ),
    "")</f>
        <v>2S</v>
      </c>
      <c r="I9" s="19"/>
    </row>
    <row r="10" spans="1:9">
      <c r="B10" s="10">
        <v>3</v>
      </c>
      <c r="C10" s="10" t="s">
        <v>79</v>
      </c>
      <c r="D10" s="11" t="s">
        <v>35</v>
      </c>
      <c r="E10" s="11" t="s">
        <v>84</v>
      </c>
      <c r="F10" s="87" t="str">
        <f t="array" ref="F10">IFERROR(
    INDEX(ClassList,
          MATCH(1,
                --(MMULT(
                       --( (KeyMatrix&lt;&gt;"") * ISNUMBER(SEARCH(UPPER(KeyMatrix), UPPER(D10))) ),
                       TRANSPOSE(COLUMN(KeyMatrix)^0)
                   )&gt;0),
                0)
         ),
    "")</f>
        <v>E0017</v>
      </c>
      <c r="G10" s="19"/>
      <c r="H10" s="87" t="str">
        <f t="array" ref="H10">IFERROR(
    INDEX(ClassList_区分,
          MATCH(1,
                --(MMULT(
                       --( (KeyMatrix_区分&lt;&gt;"") * ISNUMBER(SEARCH(UPPER(KeyMatrix_区分), UPPER(D10))) ),
                       TRANSPOSE(COLUMN(KeyMatrix_区分)^0)
                   )&gt;0),
                0)
         ),
    "")</f>
        <v>2S</v>
      </c>
      <c r="I10" s="19"/>
    </row>
    <row r="11" spans="1:9">
      <c r="B11" s="10">
        <v>4</v>
      </c>
      <c r="C11" s="10"/>
      <c r="D11" s="11"/>
      <c r="E11" s="22"/>
      <c r="F11" s="87" t="str">
        <f t="array" ref="F11">IFERROR(
    INDEX(ClassList,
          MATCH(1,
                --(MMULT(
                       --( (KeyMatrix&lt;&gt;"") * ISNUMBER(SEARCH(UPPER(KeyMatrix), UPPER(D11))) ),
                       TRANSPOSE(COLUMN(KeyMatrix)^0)
                   )&gt;0),
                0)
         ),
    "")</f>
        <v/>
      </c>
      <c r="G11" s="19"/>
      <c r="H11" s="87" t="str">
        <f t="array" ref="H11">IFERROR(
    INDEX(ClassList_区分,
          MATCH(1,
                --(MMULT(
                       --( (KeyMatrix_区分&lt;&gt;"") * ISNUMBER(SEARCH(UPPER(KeyMatrix_区分), UPPER(D11))) ),
                       TRANSPOSE(COLUMN(KeyMatrix_区分)^0)
                   )&gt;0),
                0)
         ),
    "")</f>
        <v/>
      </c>
      <c r="I11" s="19"/>
    </row>
    <row r="12" spans="1:9">
      <c r="B12" s="10">
        <v>5</v>
      </c>
      <c r="C12" s="10"/>
      <c r="D12" s="11"/>
      <c r="E12" s="22"/>
      <c r="F12" s="87" t="str">
        <f t="array" ref="F12">IFERROR(
    INDEX(ClassList,
          MATCH(1,
                --(MMULT(
                       --( (KeyMatrix&lt;&gt;"") * ISNUMBER(SEARCH(UPPER(KeyMatrix), UPPER(D12))) ),
                       TRANSPOSE(COLUMN(KeyMatrix)^0)
                   )&gt;0),
                0)
         ),
    "")</f>
        <v/>
      </c>
      <c r="G12" s="19"/>
      <c r="H12" s="87" t="str">
        <f t="array" ref="H12">IFERROR(
    INDEX(ClassList_区分,
          MATCH(1,
                --(MMULT(
                       --( (KeyMatrix_区分&lt;&gt;"") * ISNUMBER(SEARCH(UPPER(KeyMatrix_区分), UPPER(D12))) ),
                       TRANSPOSE(COLUMN(KeyMatrix_区分)^0)
                   )&gt;0),
                0)
         ),
    "")</f>
        <v/>
      </c>
      <c r="I12" s="19"/>
    </row>
    <row r="13" spans="1:9">
      <c r="B13" s="10">
        <v>6</v>
      </c>
      <c r="C13" s="10"/>
      <c r="D13" s="11"/>
      <c r="E13" s="22"/>
      <c r="F13" s="87" t="str">
        <f t="array" ref="F13">IFERROR(
    INDEX(ClassList,
          MATCH(1,
                --(MMULT(
                       --ISNUMBER(SEARCH(UPPER(KeyMatrix), UPPER(D13))),
                       TRANSPOSE(COLUMN(KeyMatrix)^0)
                   )&gt;0),
                0)
         ),
    "")</f>
        <v/>
      </c>
      <c r="G13" s="19"/>
      <c r="H13" s="87" t="str">
        <f t="array" ref="H13">IFERROR(
    INDEX(ClassList_区分,
          MATCH(1,
                --(MMULT(
                       --( (KeyMatrix_区分&lt;&gt;"") * ISNUMBER(SEARCH(UPPER(KeyMatrix_区分), UPPER(D13))) ),
                       TRANSPOSE(COLUMN(KeyMatrix_区分)^0)
                   )&gt;0),
                0)
         ),
    "")</f>
        <v/>
      </c>
      <c r="I13" s="19"/>
    </row>
    <row r="14" spans="1:9">
      <c r="B14" s="10">
        <v>7</v>
      </c>
      <c r="C14" s="10"/>
      <c r="D14" s="11"/>
      <c r="E14" s="22"/>
      <c r="F14" s="87" t="str">
        <f t="array" ref="F14">IFERROR(
    INDEX(ClassList,
          MATCH(1,
                --(MMULT(
                       --ISNUMBER(SEARCH(UPPER(KeyMatrix), UPPER(D14))),
                       TRANSPOSE(COLUMN(KeyMatrix)^0)
                   )&gt;0),
                0)
         ),
    "")</f>
        <v/>
      </c>
      <c r="G14" s="19"/>
      <c r="H14" s="87" t="str">
        <f t="array" ref="H14">IFERROR(
    INDEX(ClassList_区分,
          MATCH(1,
                --(MMULT(
                       --( (KeyMatrix_区分&lt;&gt;"") * ISNUMBER(SEARCH(UPPER(KeyMatrix_区分), UPPER(D14))) ),
                       TRANSPOSE(COLUMN(KeyMatrix_区分)^0)
                   )&gt;0),
                0)
         ),
    "")</f>
        <v/>
      </c>
      <c r="I14" s="19"/>
    </row>
    <row r="15" spans="1:9">
      <c r="B15" s="10">
        <v>8</v>
      </c>
      <c r="C15" s="10"/>
      <c r="D15" s="11"/>
      <c r="E15" s="22"/>
      <c r="F15" s="87" t="str">
        <f t="array" ref="F15">IFERROR(
    INDEX(ClassList,
          MATCH(1,
                --(MMULT(
                       --ISNUMBER(SEARCH(UPPER(KeyMatrix), UPPER(D15))),
                       TRANSPOSE(COLUMN(KeyMatrix)^0)
                   )&gt;0),
                0)
         ),
    "")</f>
        <v/>
      </c>
      <c r="G15" s="19"/>
      <c r="H15" s="87" t="str">
        <f t="array" ref="H15">IFERROR(
    INDEX(ClassList_区分,
          MATCH(1,
                --(MMULT(
                       --( (KeyMatrix_区分&lt;&gt;"") * ISNUMBER(SEARCH(UPPER(KeyMatrix_区分), UPPER(D15))) ),
                       TRANSPOSE(COLUMN(KeyMatrix_区分)^0)
                   )&gt;0),
                0)
         ),
    "")</f>
        <v/>
      </c>
      <c r="I15" s="19"/>
    </row>
    <row r="16" spans="1:9">
      <c r="B16" s="10">
        <v>9</v>
      </c>
      <c r="C16" s="10"/>
      <c r="D16" s="10"/>
      <c r="E16" s="22"/>
      <c r="F16" s="87" t="str">
        <f t="array" ref="F16">IFERROR(
    INDEX(ClassList,
          MATCH(1,
                --(MMULT(
                       --ISNUMBER(SEARCH(UPPER(KeyMatrix), UPPER(D16))),
                       TRANSPOSE(COLUMN(KeyMatrix)^0)
                   )&gt;0),
                0)
         ),
    "")</f>
        <v/>
      </c>
      <c r="G16" s="19"/>
      <c r="H16" s="87" t="str">
        <f t="array" ref="H16">IFERROR(
    INDEX(ClassList_区分,
          MATCH(1,
                --(MMULT(
                       --( (KeyMatrix_区分&lt;&gt;"") * ISNUMBER(SEARCH(UPPER(KeyMatrix_区分), UPPER(D16))) ),
                       TRANSPOSE(COLUMN(KeyMatrix_区分)^0)
                   )&gt;0),
                0)
         ),
    "")</f>
        <v/>
      </c>
      <c r="I16" s="19"/>
    </row>
    <row r="17" spans="2:9">
      <c r="B17" s="10">
        <v>10</v>
      </c>
      <c r="C17" s="10"/>
      <c r="D17" s="10"/>
      <c r="E17" s="22"/>
      <c r="F17" s="87" t="str">
        <f t="array" ref="F17">IFERROR(
    INDEX(ClassList,
          MATCH(1,
                --(MMULT(
                       --ISNUMBER(SEARCH(UPPER(KeyMatrix), UPPER(D17))),
                       TRANSPOSE(COLUMN(KeyMatrix)^0)
                   )&gt;0),
                0)
         ),
    "")</f>
        <v/>
      </c>
      <c r="G17" s="19"/>
      <c r="H17" s="87" t="str">
        <f t="array" ref="H17">IFERROR(
    INDEX(ClassList_区分,
          MATCH(1,
                --(MMULT(
                       --( (KeyMatrix_区分&lt;&gt;"") * ISNUMBER(SEARCH(UPPER(KeyMatrix_区分), UPPER(D17))) ),
                       TRANSPOSE(COLUMN(KeyMatrix_区分)^0)
                   )&gt;0),
                0)
         ),
    "")</f>
        <v/>
      </c>
      <c r="I17" s="19"/>
    </row>
    <row r="18" spans="2:9">
      <c r="B18" s="10">
        <v>11</v>
      </c>
      <c r="C18" s="10"/>
      <c r="D18" s="10"/>
      <c r="E18" s="22"/>
      <c r="F18" s="87" t="str">
        <f t="array" ref="F18">IFERROR(
    INDEX(ClassList,
          MATCH(1,
                --(MMULT(
                       --ISNUMBER(SEARCH(UPPER(KeyMatrix), UPPER(D18))),
                       TRANSPOSE(COLUMN(KeyMatrix)^0)
                   )&gt;0),
                0)
         ),
    "")</f>
        <v/>
      </c>
      <c r="G18" s="19"/>
      <c r="H18" s="87" t="str">
        <f t="array" ref="H18">IFERROR(
    INDEX(ClassList_区分,
          MATCH(1,
                --(MMULT(
                       --( (KeyMatrix_区分&lt;&gt;"") * ISNUMBER(SEARCH(UPPER(KeyMatrix_区分), UPPER(D18))) ),
                       TRANSPOSE(COLUMN(KeyMatrix_区分)^0)
                   )&gt;0),
                0)
         ),
    "")</f>
        <v/>
      </c>
      <c r="I18" s="19"/>
    </row>
    <row r="19" spans="2:9">
      <c r="B19" s="10">
        <v>12</v>
      </c>
      <c r="C19" s="10"/>
      <c r="D19" s="10"/>
      <c r="E19" s="22"/>
      <c r="F19" s="87" t="str">
        <f t="array" ref="F19">IFERROR(
    INDEX(ClassList,
          MATCH(1,
                --(MMULT(
                       --ISNUMBER(SEARCH(UPPER(KeyMatrix), UPPER(D19))),
                       TRANSPOSE(COLUMN(KeyMatrix)^0)
                   )&gt;0),
                0)
         ),
    "")</f>
        <v/>
      </c>
      <c r="G19" s="19"/>
      <c r="H19" s="87" t="str">
        <f t="array" ref="H19">IFERROR(
    INDEX(ClassList_区分,
          MATCH(1,
                --(MMULT(
                       --( (KeyMatrix_区分&lt;&gt;"") * ISNUMBER(SEARCH(UPPER(KeyMatrix_区分), UPPER(D19))) ),
                       TRANSPOSE(COLUMN(KeyMatrix_区分)^0)
                   )&gt;0),
                0)
         ),
    "")</f>
        <v/>
      </c>
      <c r="I19" s="19"/>
    </row>
    <row r="20" spans="2:9">
      <c r="B20" s="10">
        <v>13</v>
      </c>
      <c r="C20" s="10"/>
      <c r="D20" s="10"/>
      <c r="E20" s="22"/>
      <c r="F20" s="87" t="str">
        <f t="array" ref="F20">IFERROR(
    INDEX(ClassList,
          MATCH(1,
                --(MMULT(
                       --ISNUMBER(SEARCH(UPPER(KeyMatrix), UPPER(D20))),
                       TRANSPOSE(COLUMN(KeyMatrix)^0)
                   )&gt;0),
                0)
         ),
    "")</f>
        <v/>
      </c>
      <c r="G20" s="19"/>
      <c r="H20" s="87" t="str">
        <f t="array" ref="H20">IFERROR(
    INDEX(ClassList_区分,
          MATCH(1,
                --(MMULT(
                       --( (KeyMatrix_区分&lt;&gt;"") * ISNUMBER(SEARCH(UPPER(KeyMatrix_区分), UPPER(D20))) ),
                       TRANSPOSE(COLUMN(KeyMatrix_区分)^0)
                   )&gt;0),
                0)
         ),
    "")</f>
        <v/>
      </c>
      <c r="I20" s="19"/>
    </row>
    <row r="21" spans="2:9">
      <c r="B21" s="10">
        <v>14</v>
      </c>
      <c r="C21" s="10"/>
      <c r="D21" s="10"/>
      <c r="E21" s="22"/>
      <c r="F21" s="87" t="str">
        <f t="array" ref="F21">IFERROR(
    INDEX(ClassList,
          MATCH(1,
                --(MMULT(
                       --ISNUMBER(SEARCH(UPPER(KeyMatrix), UPPER(D21))),
                       TRANSPOSE(COLUMN(KeyMatrix)^0)
                   )&gt;0),
                0)
         ),
    "")</f>
        <v/>
      </c>
      <c r="G21" s="19"/>
      <c r="H21" s="87" t="str">
        <f t="array" ref="H21">IFERROR(
    INDEX(ClassList_区分,
          MATCH(1,
                --(MMULT(
                       --( (KeyMatrix_区分&lt;&gt;"") * ISNUMBER(SEARCH(UPPER(KeyMatrix_区分), UPPER(D21))) ),
                       TRANSPOSE(COLUMN(KeyMatrix_区分)^0)
                   )&gt;0),
                0)
         ),
    "")</f>
        <v/>
      </c>
      <c r="I21" s="19"/>
    </row>
    <row r="22" spans="2:9">
      <c r="B22" s="10">
        <v>15</v>
      </c>
      <c r="C22" s="10"/>
      <c r="D22" s="10"/>
      <c r="E22" s="22"/>
      <c r="F22" s="87" t="str">
        <f t="array" ref="F22">IFERROR(
    INDEX(ClassList,
          MATCH(1,
                --(MMULT(
                       --ISNUMBER(SEARCH(UPPER(KeyMatrix), UPPER(D22))),
                       TRANSPOSE(COLUMN(KeyMatrix)^0)
                   )&gt;0),
                0)
         ),
    "")</f>
        <v/>
      </c>
      <c r="G22" s="19"/>
      <c r="H22" s="87" t="str">
        <f t="array" ref="H22">IFERROR(
    INDEX(ClassList_区分,
          MATCH(1,
                --(MMULT(
                       --( (KeyMatrix_区分&lt;&gt;"") * ISNUMBER(SEARCH(UPPER(KeyMatrix_区分), UPPER(D22))) ),
                       TRANSPOSE(COLUMN(KeyMatrix_区分)^0)
                   )&gt;0),
                0)
         ),
    "")</f>
        <v/>
      </c>
      <c r="I22" s="19"/>
    </row>
    <row r="25" spans="2:9">
      <c r="F25" s="12"/>
      <c r="G25" s="12"/>
    </row>
  </sheetData>
  <sheetProtection sheet="1" objects="1" scenarios="1"/>
  <mergeCells count="1">
    <mergeCell ref="B2:E2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GetOutlookSchedule">
                <anchor moveWithCells="1" sizeWithCells="1">
                  <from>
                    <xdr:col>3</xdr:col>
                    <xdr:colOff>952500</xdr:colOff>
                    <xdr:row>1</xdr:row>
                    <xdr:rowOff>447675</xdr:rowOff>
                  </from>
                  <to>
                    <xdr:col>3</xdr:col>
                    <xdr:colOff>1752600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FC4EF2-FAD2-4BB0-9B2D-7EA5932D5D3E}">
  <sheetPr codeName="Sheet5"/>
  <dimension ref="A1:O52"/>
  <sheetViews>
    <sheetView showGridLines="0" zoomScale="145" zoomScaleNormal="145" workbookViewId="0">
      <selection activeCell="C26" sqref="C26"/>
    </sheetView>
  </sheetViews>
  <sheetFormatPr defaultRowHeight="18.75"/>
  <cols>
    <col min="1" max="1" width="4.5" customWidth="1"/>
    <col min="2" max="2" width="5.125" customWidth="1"/>
    <col min="3" max="3" width="17" customWidth="1"/>
    <col min="4" max="4" width="15" customWidth="1"/>
    <col min="5" max="5" width="10" customWidth="1"/>
    <col min="6" max="6" width="9.125" customWidth="1"/>
    <col min="7" max="9" width="10.125" customWidth="1"/>
    <col min="10" max="10" width="2.75" customWidth="1"/>
    <col min="11" max="11" width="17.125" customWidth="1"/>
    <col min="13" max="13" width="11.125" customWidth="1"/>
    <col min="15" max="15" width="11.5" customWidth="1"/>
  </cols>
  <sheetData>
    <row r="1" spans="1:15" s="47" customFormat="1" ht="25.5">
      <c r="A1" s="47" t="s">
        <v>65</v>
      </c>
    </row>
    <row r="2" spans="1:15" ht="9.75" customHeight="1" thickBot="1"/>
    <row r="3" spans="1:15">
      <c r="C3" s="7" t="s">
        <v>40</v>
      </c>
      <c r="D3" s="8">
        <f ca="1">IF($D$4&lt;&gt;"",$D$4,WORKDAY(TODAY(),-1))</f>
        <v>45861</v>
      </c>
      <c r="E3" s="2" t="str">
        <f ca="1">TEXT(D3,"aaaa")</f>
        <v>水曜日</v>
      </c>
    </row>
    <row r="4" spans="1:15" ht="19.5" thickBot="1">
      <c r="C4" s="5" t="s">
        <v>0</v>
      </c>
      <c r="D4" s="49">
        <v>45861</v>
      </c>
      <c r="E4" s="6" t="s">
        <v>44</v>
      </c>
      <c r="H4" s="16"/>
      <c r="I4" s="16"/>
      <c r="J4" s="16"/>
    </row>
    <row r="5" spans="1:15">
      <c r="C5" s="6"/>
      <c r="D5" s="21"/>
      <c r="H5" s="16"/>
      <c r="I5" s="16"/>
      <c r="J5" s="16"/>
    </row>
    <row r="6" spans="1:15" ht="19.5" thickBot="1">
      <c r="B6" s="46" t="s">
        <v>39</v>
      </c>
      <c r="E6" s="2"/>
      <c r="F6" s="2" t="s">
        <v>76</v>
      </c>
      <c r="J6" t="s">
        <v>38</v>
      </c>
    </row>
    <row r="7" spans="1:15">
      <c r="B7" s="43" t="s">
        <v>27</v>
      </c>
      <c r="C7" s="66" t="s">
        <v>24</v>
      </c>
      <c r="D7" s="66" t="s">
        <v>28</v>
      </c>
      <c r="E7" s="27" t="s">
        <v>42</v>
      </c>
      <c r="F7" s="26" t="s">
        <v>43</v>
      </c>
      <c r="G7" s="34" t="s">
        <v>36</v>
      </c>
      <c r="H7" s="35" t="s">
        <v>37</v>
      </c>
      <c r="J7" s="67" t="s">
        <v>27</v>
      </c>
      <c r="K7" s="68" t="s">
        <v>24</v>
      </c>
      <c r="L7" s="68" t="s">
        <v>52</v>
      </c>
      <c r="M7" s="68" t="s">
        <v>66</v>
      </c>
      <c r="N7" s="68" t="s">
        <v>26</v>
      </c>
      <c r="O7" s="61" t="s">
        <v>74</v>
      </c>
    </row>
    <row r="8" spans="1:15">
      <c r="B8" s="44">
        <v>1</v>
      </c>
      <c r="C8" s="10" t="s">
        <v>23</v>
      </c>
      <c r="D8" s="10" t="s">
        <v>48</v>
      </c>
      <c r="E8" s="23">
        <f>IF(F8&lt;&gt;"",TIME(INT(F8/100),MOD(F8,100),0),SUMPRODUCT(
   (データ取得!$F$8:$F$22=C8)*(データ取得!$H$8:$H$22=D8),
   TIME(INT(データ取得!$E$8:$E$22/100), MOD(データ取得!$E$8:$E$22,100), 0)
))</f>
        <v>6.25E-2</v>
      </c>
      <c r="F8" s="64"/>
      <c r="G8" s="10"/>
      <c r="H8" s="36"/>
      <c r="J8" s="10">
        <v>1</v>
      </c>
      <c r="K8" s="10" t="str">
        <f>IF(月次データ!B2 = "", "",月次データ!B2 )</f>
        <v>E0017</v>
      </c>
      <c r="L8" s="22">
        <f>IF(月次データ!C2 = "", "",月次データ!C2 )</f>
        <v>0.125</v>
      </c>
      <c r="M8" s="10">
        <f>IF(月次データ!D2 = "", "",月次データ!D2 )</f>
        <v>180</v>
      </c>
      <c r="N8" s="10">
        <f>IF(月次データ!E2 = "", "",月次データ!E2 )</f>
        <v>7406</v>
      </c>
      <c r="O8" s="10"/>
    </row>
    <row r="9" spans="1:15">
      <c r="B9" s="44">
        <v>2</v>
      </c>
      <c r="C9" s="10" t="s">
        <v>23</v>
      </c>
      <c r="D9" s="10" t="s">
        <v>50</v>
      </c>
      <c r="E9" s="23">
        <f>IF(F9&lt;&gt;"",TIME(INT(F9/100),MOD(F9,100),0),SUMPRODUCT(
   (データ取得!$F$8:$F$22=C9)*(データ取得!$H$8:$H$22=D9),
   TIME(INT(データ取得!$E$8:$E$22/100), MOD(データ取得!$E$8:$E$22,100), 0)
))</f>
        <v>6.25E-2</v>
      </c>
      <c r="F9" s="64"/>
      <c r="G9" s="10"/>
      <c r="H9" s="36"/>
      <c r="J9" s="10">
        <v>2</v>
      </c>
      <c r="K9" s="10" t="str">
        <f>IF(月次データ!B3 = "", "",月次データ!B3 )</f>
        <v>作番外</v>
      </c>
      <c r="L9" s="22">
        <f>IF(月次データ!C3 = "", "",月次データ!C3 )</f>
        <v>0.16666666666666666</v>
      </c>
      <c r="M9" s="10">
        <f>IF(月次データ!D3 = "", "",月次データ!D3 )</f>
        <v>240</v>
      </c>
      <c r="N9" s="10" t="str">
        <f>IF(月次データ!E3 = "", "",月次データ!E3 )</f>
        <v>-</v>
      </c>
      <c r="O9" s="10"/>
    </row>
    <row r="10" spans="1:15">
      <c r="B10" s="44">
        <v>3</v>
      </c>
      <c r="C10" s="10" t="s">
        <v>23</v>
      </c>
      <c r="D10" s="10" t="s">
        <v>55</v>
      </c>
      <c r="E10" s="23">
        <f>IF(F10&lt;&gt;"",TIME(INT(F10/100),MOD(F10,100),0),SUMPRODUCT(
   (データ取得!$F$8:$F$22=C10)*(データ取得!$H$8:$H$22=D10),
   TIME(INT(データ取得!$E$8:$E$22/100), MOD(データ取得!$E$8:$E$22,100), 0)
))</f>
        <v>0</v>
      </c>
      <c r="F10" s="64"/>
      <c r="G10" s="10"/>
      <c r="H10" s="36"/>
      <c r="J10" s="10">
        <v>3</v>
      </c>
      <c r="K10" s="10" t="str">
        <f>IF(月次データ!B4 = "", "",月次データ!B4 )</f>
        <v/>
      </c>
      <c r="L10" s="22">
        <f>IF(月次データ!C4 = "", "",月次データ!C4 )</f>
        <v>0</v>
      </c>
      <c r="M10" s="10">
        <f>IF(月次データ!D4 = "", "",月次データ!D4 )</f>
        <v>0</v>
      </c>
      <c r="N10" s="10" t="str">
        <f>IF(月次データ!E4 = "", "",月次データ!E4 )</f>
        <v/>
      </c>
      <c r="O10" s="10"/>
    </row>
    <row r="11" spans="1:15">
      <c r="B11" s="44">
        <v>4</v>
      </c>
      <c r="C11" s="10" t="s">
        <v>41</v>
      </c>
      <c r="D11" s="10" t="s">
        <v>56</v>
      </c>
      <c r="E11" s="23">
        <f>IF(F11&lt;&gt;"",TIME(INT(F11/100),MOD(F11,100),0),SUMPRODUCT(
   (データ取得!$F$8:$F$22=C11)*(データ取得!$H$8:$H$22=D11),
   TIME(INT(データ取得!$E$8:$E$22/100), MOD(データ取得!$E$8:$E$22,100), 0)
))</f>
        <v>0</v>
      </c>
      <c r="F11" s="64"/>
      <c r="G11" s="10"/>
      <c r="H11" s="36"/>
      <c r="J11" s="10">
        <v>4</v>
      </c>
      <c r="K11" s="10" t="str">
        <f>IF(月次データ!B5 = "", "",月次データ!B5 )</f>
        <v/>
      </c>
      <c r="L11" s="22" t="str">
        <f>IF(月次データ!C5 = "", "",月次データ!C5 )</f>
        <v/>
      </c>
      <c r="M11" s="10" t="str">
        <f>IF(月次データ!D5 = "", "",月次データ!D5 )</f>
        <v/>
      </c>
      <c r="N11" s="10" t="str">
        <f>IF(月次データ!E5 = "", "",月次データ!E5 )</f>
        <v/>
      </c>
      <c r="O11" s="10"/>
    </row>
    <row r="12" spans="1:15">
      <c r="B12" s="44">
        <v>5</v>
      </c>
      <c r="C12" s="10" t="s">
        <v>41</v>
      </c>
      <c r="D12" s="10" t="s">
        <v>58</v>
      </c>
      <c r="E12" s="23">
        <f>IF(F12&lt;&gt;"",TIME(INT(F12/100),MOD(F12,100),0),SUMPRODUCT(
   (データ取得!$F$8:$F$22=C12)*(データ取得!$H$8:$H$22=D12),
   TIME(INT(データ取得!$E$8:$E$22/100), MOD(データ取得!$E$8:$E$22,100), 0)
))</f>
        <v>0</v>
      </c>
      <c r="F12" s="64"/>
      <c r="G12" s="10"/>
      <c r="H12" s="36"/>
      <c r="J12" s="2"/>
      <c r="K12" s="2"/>
      <c r="L12" s="2"/>
      <c r="M12" s="2"/>
      <c r="N12" s="2"/>
      <c r="O12" s="2"/>
    </row>
    <row r="13" spans="1:15">
      <c r="B13" s="44">
        <v>6</v>
      </c>
      <c r="C13" s="10" t="s">
        <v>41</v>
      </c>
      <c r="D13" s="10" t="s">
        <v>57</v>
      </c>
      <c r="E13" s="23">
        <f>IF(F13&lt;&gt;"",TIME(INT(F13/100),MOD(F13,100),0),SUMPRODUCT(
   (データ取得!$F$8:$F$22=C13)*(データ取得!$H$8:$H$22=D13),
   TIME(INT(データ取得!$E$8:$E$22/100), MOD(データ取得!$E$8:$E$22,100), 0)
))</f>
        <v>0</v>
      </c>
      <c r="F13" s="64"/>
      <c r="G13" s="10"/>
      <c r="H13" s="36"/>
      <c r="J13" s="2"/>
      <c r="K13" s="2"/>
      <c r="L13" s="2"/>
      <c r="M13" s="2"/>
      <c r="N13" s="2"/>
      <c r="O13" s="2"/>
    </row>
    <row r="14" spans="1:15">
      <c r="B14" s="44">
        <v>7</v>
      </c>
      <c r="C14" s="10"/>
      <c r="D14" s="10"/>
      <c r="E14" s="23">
        <f>IF(F14&lt;&gt;"",TIME(INT(F14/100),MOD(F14,100),0),SUMPRODUCT(
   (データ取得!$F$8:$F$22=C14)*(データ取得!$H$8:$H$22=D14),
   TIME(INT(データ取得!$E$8:$E$22/100), MOD(データ取得!$E$8:$E$22,100), 0)
))</f>
        <v>0</v>
      </c>
      <c r="F14" s="64"/>
      <c r="G14" s="10"/>
      <c r="H14" s="36"/>
      <c r="J14" s="2"/>
      <c r="K14" s="2"/>
      <c r="L14" s="2"/>
      <c r="M14" s="2"/>
      <c r="N14" s="2"/>
      <c r="O14" s="2"/>
    </row>
    <row r="15" spans="1:15">
      <c r="B15" s="44">
        <v>8</v>
      </c>
      <c r="C15" s="10"/>
      <c r="D15" s="10"/>
      <c r="E15" s="23">
        <f>IF(F15&lt;&gt;"",TIME(INT(F15/100),MOD(F15,100),0),SUMPRODUCT(
   (データ取得!$F$8:$F$22=C15)*(データ取得!$H$8:$H$22=D15),
   TIME(INT(データ取得!$E$8:$E$22/100), MOD(データ取得!$E$8:$E$22,100), 0)
))</f>
        <v>0</v>
      </c>
      <c r="F15" s="64"/>
      <c r="G15" s="10"/>
      <c r="H15" s="36"/>
      <c r="J15" s="2"/>
      <c r="K15" s="2"/>
      <c r="L15" s="2"/>
      <c r="M15" s="2"/>
      <c r="N15" s="2"/>
      <c r="O15" s="2"/>
    </row>
    <row r="16" spans="1:15">
      <c r="B16" s="44">
        <v>9</v>
      </c>
      <c r="C16" s="10"/>
      <c r="D16" s="10"/>
      <c r="E16" s="23">
        <f>IF(F16&lt;&gt;"",TIME(INT(F16/100),MOD(F16,100),0),SUMPRODUCT(
   (データ取得!$F$8:$F$22=C16)*(データ取得!$H$8:$H$22=D16),
   TIME(INT(データ取得!$E$8:$E$22/100), MOD(データ取得!$E$8:$E$22,100), 0)
))</f>
        <v>0</v>
      </c>
      <c r="F16" s="64"/>
      <c r="G16" s="10"/>
      <c r="H16" s="36"/>
      <c r="J16" s="2"/>
      <c r="K16" s="2"/>
      <c r="L16" s="2"/>
      <c r="M16" s="2"/>
      <c r="N16" s="2"/>
      <c r="O16" s="2"/>
    </row>
    <row r="17" spans="2:15" ht="19.5" thickBot="1">
      <c r="B17" s="45">
        <v>10</v>
      </c>
      <c r="C17" s="37"/>
      <c r="D17" s="37"/>
      <c r="E17" s="33">
        <f>IF(F17&lt;&gt;"",TIME(INT(F17/100),MOD(F17,100),0),SUMPRODUCT(
   (データ取得!$F$8:$F$22=C17)*(データ取得!$H$8:$H$22=D17),
   TIME(INT(データ取得!$E$8:$E$22/100), MOD(データ取得!$E$8:$E$22,100), 0)
))</f>
        <v>0</v>
      </c>
      <c r="F17" s="65"/>
      <c r="G17" s="37"/>
      <c r="H17" s="38"/>
      <c r="J17" s="2"/>
      <c r="K17" s="2"/>
      <c r="L17" s="2"/>
      <c r="M17" s="2"/>
      <c r="N17" s="2"/>
      <c r="O17" s="2"/>
    </row>
    <row r="18" spans="2:15">
      <c r="D18" s="16" t="s">
        <v>68</v>
      </c>
      <c r="E18" s="42">
        <f>SUM(E8:E17)</f>
        <v>0.125</v>
      </c>
      <c r="J18" s="2"/>
      <c r="K18" s="2"/>
      <c r="L18" s="2"/>
      <c r="M18" s="2"/>
      <c r="N18" s="2"/>
      <c r="O18" s="2"/>
    </row>
    <row r="19" spans="2:15">
      <c r="D19" s="16" t="s">
        <v>69</v>
      </c>
      <c r="E19" s="16">
        <f>HOUR(E18)*60 + MINUTE(E18)</f>
        <v>180</v>
      </c>
      <c r="J19" s="2"/>
      <c r="K19" s="2"/>
      <c r="L19" s="2"/>
      <c r="M19" s="2"/>
      <c r="N19" s="2"/>
      <c r="O19" s="2"/>
    </row>
    <row r="20" spans="2:15">
      <c r="J20" s="2"/>
      <c r="K20" s="2"/>
      <c r="L20" s="2"/>
      <c r="M20" s="2"/>
      <c r="N20" s="2"/>
      <c r="O20" s="2"/>
    </row>
    <row r="21" spans="2:15">
      <c r="J21" s="2"/>
      <c r="K21" s="2"/>
      <c r="L21" s="2"/>
      <c r="M21" s="2"/>
      <c r="N21" s="2"/>
      <c r="O21" s="2"/>
    </row>
    <row r="22" spans="2:15">
      <c r="J22" s="2"/>
      <c r="K22" s="2"/>
      <c r="L22" s="2"/>
      <c r="M22" s="2"/>
      <c r="N22" s="2"/>
      <c r="O22" s="2"/>
    </row>
    <row r="23" spans="2:15">
      <c r="J23" s="2"/>
      <c r="K23" s="2"/>
      <c r="L23" s="2"/>
      <c r="M23" s="2"/>
      <c r="N23" s="2"/>
      <c r="O23" s="2"/>
    </row>
    <row r="24" spans="2:15">
      <c r="J24" s="2"/>
      <c r="K24" s="2"/>
      <c r="L24" s="2"/>
      <c r="M24" s="2"/>
      <c r="N24" s="2"/>
      <c r="O24" s="2"/>
    </row>
    <row r="25" spans="2:15">
      <c r="J25" s="2"/>
      <c r="K25" s="2"/>
      <c r="L25" s="2"/>
      <c r="M25" s="2"/>
      <c r="N25" s="2"/>
      <c r="O25" s="2"/>
    </row>
    <row r="26" spans="2:15">
      <c r="J26" s="2"/>
      <c r="K26" s="2"/>
      <c r="L26" s="2"/>
      <c r="M26" s="2"/>
      <c r="N26" s="2"/>
      <c r="O26" s="2"/>
    </row>
    <row r="51" spans="5:5">
      <c r="E51" t="s">
        <v>70</v>
      </c>
    </row>
    <row r="52" spans="5:5">
      <c r="E52" s="23">
        <v>0</v>
      </c>
    </row>
  </sheetData>
  <sheetProtection sheet="1"/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TransferDataToMonthlySheet">
                <anchor moveWithCells="1" sizeWithCells="1">
                  <from>
                    <xdr:col>6</xdr:col>
                    <xdr:colOff>438150</xdr:colOff>
                    <xdr:row>0</xdr:row>
                    <xdr:rowOff>314325</xdr:rowOff>
                  </from>
                  <to>
                    <xdr:col>7</xdr:col>
                    <xdr:colOff>771525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odule2.ClearInputData">
                <anchor moveWithCells="1" sizeWithCells="1">
                  <from>
                    <xdr:col>4</xdr:col>
                    <xdr:colOff>561975</xdr:colOff>
                    <xdr:row>0</xdr:row>
                    <xdr:rowOff>314325</xdr:rowOff>
                  </from>
                  <to>
                    <xdr:col>6</xdr:col>
                    <xdr:colOff>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1A2518-7366-4FBD-88EB-1DB5A33F615D}">
  <sheetPr codeName="Sheet4"/>
  <dimension ref="A1:O41"/>
  <sheetViews>
    <sheetView showGridLines="0" workbookViewId="0">
      <selection activeCell="H28" sqref="H28"/>
    </sheetView>
  </sheetViews>
  <sheetFormatPr defaultRowHeight="18.75"/>
  <cols>
    <col min="1" max="1" width="9.25" bestFit="1" customWidth="1"/>
    <col min="2" max="2" width="15.375" customWidth="1"/>
    <col min="3" max="3" width="11.25" customWidth="1"/>
    <col min="4" max="4" width="7.125" customWidth="1"/>
    <col min="5" max="14" width="12.625" customWidth="1"/>
  </cols>
  <sheetData>
    <row r="1" spans="1:14">
      <c r="A1" s="46" t="s">
        <v>53</v>
      </c>
      <c r="B1" s="14" t="s">
        <v>24</v>
      </c>
      <c r="C1" s="14" t="s">
        <v>60</v>
      </c>
      <c r="D1" s="51" t="s">
        <v>61</v>
      </c>
      <c r="E1" s="51" t="s">
        <v>62</v>
      </c>
      <c r="F1" s="51" t="s">
        <v>63</v>
      </c>
    </row>
    <row r="2" spans="1:14">
      <c r="B2" s="1" t="s">
        <v>23</v>
      </c>
      <c r="C2" s="48">
        <f>SUMIF(E8:N8, B2, E41:N41)</f>
        <v>0.125</v>
      </c>
      <c r="D2" s="50">
        <f>HOUR(C2)*60 + MINUTE(C2)</f>
        <v>180</v>
      </c>
      <c r="E2" s="1">
        <v>7406</v>
      </c>
      <c r="F2" s="1">
        <f>E2-D2</f>
        <v>7226</v>
      </c>
    </row>
    <row r="3" spans="1:14">
      <c r="B3" s="1" t="s">
        <v>46</v>
      </c>
      <c r="C3" s="48">
        <v>0.16666666666666666</v>
      </c>
      <c r="D3" s="50">
        <f>HOUR(C3)*60 + MINUTE(C3)</f>
        <v>240</v>
      </c>
      <c r="E3" s="1" t="s">
        <v>54</v>
      </c>
      <c r="F3" s="1" t="s">
        <v>54</v>
      </c>
    </row>
    <row r="4" spans="1:14">
      <c r="B4" s="1"/>
      <c r="C4" s="48">
        <v>0</v>
      </c>
      <c r="D4" s="50">
        <f>HOUR(C4)*60 + MINUTE(C4)</f>
        <v>0</v>
      </c>
      <c r="E4" s="1"/>
      <c r="F4" s="1"/>
    </row>
    <row r="5" spans="1:14">
      <c r="B5" s="1"/>
      <c r="C5" s="48"/>
      <c r="D5" s="52"/>
      <c r="E5" s="1"/>
      <c r="F5" s="1"/>
    </row>
    <row r="6" spans="1:14">
      <c r="B6" s="1"/>
      <c r="C6" s="48"/>
      <c r="D6" s="52"/>
      <c r="E6" s="1"/>
      <c r="F6" s="1"/>
    </row>
    <row r="7" spans="1:14" ht="45" customHeight="1" thickBot="1">
      <c r="C7" s="54">
        <f>SUM(C2:C6)</f>
        <v>0.29166666666666663</v>
      </c>
      <c r="D7" s="55">
        <f>SUM(D2:D6)</f>
        <v>420</v>
      </c>
      <c r="E7" s="53">
        <v>1</v>
      </c>
      <c r="F7" s="53">
        <v>2</v>
      </c>
      <c r="G7" s="53">
        <v>3</v>
      </c>
      <c r="H7" s="53">
        <v>4</v>
      </c>
      <c r="I7" s="53">
        <v>5</v>
      </c>
      <c r="J7" s="53">
        <v>6</v>
      </c>
      <c r="K7" s="53">
        <v>7</v>
      </c>
      <c r="L7" s="53">
        <v>8</v>
      </c>
      <c r="M7" s="53">
        <v>9</v>
      </c>
      <c r="N7" s="53">
        <v>10</v>
      </c>
    </row>
    <row r="8" spans="1:14">
      <c r="B8" s="25" t="s">
        <v>53</v>
      </c>
      <c r="C8" s="31"/>
      <c r="D8" s="39" t="s">
        <v>24</v>
      </c>
      <c r="E8" s="85" t="s">
        <v>23</v>
      </c>
      <c r="F8" s="66" t="s">
        <v>23</v>
      </c>
      <c r="G8" s="66" t="s">
        <v>23</v>
      </c>
      <c r="H8" s="66" t="s">
        <v>41</v>
      </c>
      <c r="I8" s="66" t="s">
        <v>46</v>
      </c>
      <c r="J8" s="66" t="s">
        <v>41</v>
      </c>
      <c r="K8" s="66"/>
      <c r="L8" s="66"/>
      <c r="M8" s="66"/>
      <c r="N8" s="86"/>
    </row>
    <row r="9" spans="1:14" ht="19.5" thickBot="1">
      <c r="B9" s="28" t="s">
        <v>25</v>
      </c>
      <c r="C9" s="30" t="s">
        <v>52</v>
      </c>
      <c r="D9" s="40" t="s">
        <v>28</v>
      </c>
      <c r="E9" s="32" t="s">
        <v>47</v>
      </c>
      <c r="F9" s="29" t="s">
        <v>49</v>
      </c>
      <c r="G9" s="29" t="s">
        <v>55</v>
      </c>
      <c r="H9" s="29" t="s">
        <v>56</v>
      </c>
      <c r="I9" s="29" t="s">
        <v>58</v>
      </c>
      <c r="J9" s="29" t="s">
        <v>57</v>
      </c>
      <c r="K9" s="29" t="s">
        <v>59</v>
      </c>
      <c r="L9" s="29"/>
      <c r="M9" s="29"/>
      <c r="N9" s="30"/>
    </row>
    <row r="10" spans="1:14">
      <c r="B10" s="69">
        <v>45839</v>
      </c>
      <c r="C10" s="70">
        <f>SUM(E10:N10)</f>
        <v>0</v>
      </c>
      <c r="D10" s="71" t="s">
        <v>54</v>
      </c>
      <c r="E10" s="72"/>
      <c r="F10" s="73"/>
      <c r="G10" s="73"/>
      <c r="H10" s="73"/>
      <c r="I10" s="73"/>
      <c r="J10" s="73"/>
      <c r="K10" s="73"/>
      <c r="L10" s="73"/>
      <c r="M10" s="73"/>
      <c r="N10" s="70"/>
    </row>
    <row r="11" spans="1:14">
      <c r="B11" s="74">
        <f>B10+1</f>
        <v>45840</v>
      </c>
      <c r="C11" s="75">
        <f>SUM(E11:N11)</f>
        <v>0</v>
      </c>
      <c r="D11" s="76" t="s">
        <v>54</v>
      </c>
      <c r="E11" s="77"/>
      <c r="F11" s="22"/>
      <c r="G11" s="22"/>
      <c r="H11" s="22"/>
      <c r="I11" s="22"/>
      <c r="J11" s="22"/>
      <c r="K11" s="22"/>
      <c r="L11" s="22"/>
      <c r="M11" s="22"/>
      <c r="N11" s="75"/>
    </row>
    <row r="12" spans="1:14">
      <c r="B12" s="74">
        <f t="shared" ref="B12:B39" si="0">B11+1</f>
        <v>45841</v>
      </c>
      <c r="C12" s="75">
        <f t="shared" ref="C12:C40" si="1">SUM(E12:N12)</f>
        <v>0</v>
      </c>
      <c r="D12" s="76" t="s">
        <v>54</v>
      </c>
      <c r="E12" s="77"/>
      <c r="F12" s="22"/>
      <c r="G12" s="22"/>
      <c r="H12" s="22"/>
      <c r="I12" s="22"/>
      <c r="J12" s="22"/>
      <c r="K12" s="22"/>
      <c r="L12" s="22"/>
      <c r="M12" s="22"/>
      <c r="N12" s="75"/>
    </row>
    <row r="13" spans="1:14">
      <c r="B13" s="74">
        <f t="shared" si="0"/>
        <v>45842</v>
      </c>
      <c r="C13" s="75">
        <f t="shared" si="1"/>
        <v>0</v>
      </c>
      <c r="D13" s="76" t="s">
        <v>54</v>
      </c>
      <c r="E13" s="77"/>
      <c r="F13" s="22"/>
      <c r="G13" s="22"/>
      <c r="H13" s="22"/>
      <c r="I13" s="22"/>
      <c r="J13" s="22"/>
      <c r="K13" s="22"/>
      <c r="L13" s="22"/>
      <c r="M13" s="22"/>
      <c r="N13" s="75"/>
    </row>
    <row r="14" spans="1:14">
      <c r="B14" s="74">
        <f t="shared" si="0"/>
        <v>45843</v>
      </c>
      <c r="C14" s="75">
        <f t="shared" si="1"/>
        <v>0</v>
      </c>
      <c r="D14" s="76" t="s">
        <v>54</v>
      </c>
      <c r="E14" s="77"/>
      <c r="F14" s="22"/>
      <c r="G14" s="22"/>
      <c r="H14" s="22"/>
      <c r="I14" s="22"/>
      <c r="J14" s="22"/>
      <c r="K14" s="22"/>
      <c r="L14" s="22"/>
      <c r="M14" s="22"/>
      <c r="N14" s="75"/>
    </row>
    <row r="15" spans="1:14">
      <c r="B15" s="74">
        <f t="shared" si="0"/>
        <v>45844</v>
      </c>
      <c r="C15" s="75">
        <f t="shared" si="1"/>
        <v>0</v>
      </c>
      <c r="D15" s="76" t="s">
        <v>54</v>
      </c>
      <c r="E15" s="77"/>
      <c r="F15" s="22"/>
      <c r="G15" s="22"/>
      <c r="H15" s="22"/>
      <c r="I15" s="22"/>
      <c r="J15" s="22"/>
      <c r="K15" s="22"/>
      <c r="L15" s="22"/>
      <c r="M15" s="22"/>
      <c r="N15" s="75"/>
    </row>
    <row r="16" spans="1:14">
      <c r="B16" s="74">
        <f t="shared" si="0"/>
        <v>45845</v>
      </c>
      <c r="C16" s="75">
        <f t="shared" si="1"/>
        <v>0</v>
      </c>
      <c r="D16" s="76" t="s">
        <v>54</v>
      </c>
      <c r="E16" s="77"/>
      <c r="F16" s="22"/>
      <c r="G16" s="22"/>
      <c r="H16" s="22"/>
      <c r="I16" s="22"/>
      <c r="J16" s="22"/>
      <c r="K16" s="22"/>
      <c r="L16" s="22"/>
      <c r="M16" s="22"/>
      <c r="N16" s="75"/>
    </row>
    <row r="17" spans="1:14">
      <c r="B17" s="74">
        <f t="shared" si="0"/>
        <v>45846</v>
      </c>
      <c r="C17" s="75">
        <f t="shared" si="1"/>
        <v>0</v>
      </c>
      <c r="D17" s="76" t="s">
        <v>54</v>
      </c>
      <c r="E17" s="77"/>
      <c r="F17" s="22"/>
      <c r="G17" s="22"/>
      <c r="H17" s="22"/>
      <c r="I17" s="22"/>
      <c r="J17" s="22"/>
      <c r="K17" s="22"/>
      <c r="L17" s="22"/>
      <c r="M17" s="22"/>
      <c r="N17" s="75"/>
    </row>
    <row r="18" spans="1:14">
      <c r="B18" s="74">
        <f t="shared" si="0"/>
        <v>45847</v>
      </c>
      <c r="C18" s="75">
        <f t="shared" si="1"/>
        <v>0</v>
      </c>
      <c r="D18" s="76" t="s">
        <v>54</v>
      </c>
      <c r="E18" s="77"/>
      <c r="F18" s="22"/>
      <c r="G18" s="22"/>
      <c r="H18" s="22"/>
      <c r="I18" s="22"/>
      <c r="J18" s="22"/>
      <c r="K18" s="22"/>
      <c r="L18" s="22"/>
      <c r="M18" s="22"/>
      <c r="N18" s="75"/>
    </row>
    <row r="19" spans="1:14">
      <c r="B19" s="74">
        <f t="shared" si="0"/>
        <v>45848</v>
      </c>
      <c r="C19" s="75">
        <f t="shared" si="1"/>
        <v>0</v>
      </c>
      <c r="D19" s="76" t="s">
        <v>54</v>
      </c>
      <c r="E19" s="77"/>
      <c r="F19" s="22"/>
      <c r="G19" s="22"/>
      <c r="H19" s="22"/>
      <c r="I19" s="22"/>
      <c r="J19" s="22"/>
      <c r="K19" s="22"/>
      <c r="L19" s="22"/>
      <c r="M19" s="22"/>
      <c r="N19" s="75"/>
    </row>
    <row r="20" spans="1:14">
      <c r="B20" s="74">
        <f t="shared" si="0"/>
        <v>45849</v>
      </c>
      <c r="C20" s="75">
        <f t="shared" si="1"/>
        <v>0</v>
      </c>
      <c r="D20" s="76" t="s">
        <v>54</v>
      </c>
      <c r="E20" s="77"/>
      <c r="F20" s="22"/>
      <c r="G20" s="22"/>
      <c r="H20" s="22"/>
      <c r="I20" s="22"/>
      <c r="J20" s="22"/>
      <c r="K20" s="22"/>
      <c r="L20" s="22"/>
      <c r="M20" s="22"/>
      <c r="N20" s="75"/>
    </row>
    <row r="21" spans="1:14">
      <c r="B21" s="74">
        <f t="shared" si="0"/>
        <v>45850</v>
      </c>
      <c r="C21" s="75">
        <f t="shared" si="1"/>
        <v>0</v>
      </c>
      <c r="D21" s="76" t="s">
        <v>54</v>
      </c>
      <c r="E21" s="77"/>
      <c r="F21" s="22"/>
      <c r="G21" s="22"/>
      <c r="H21" s="22"/>
      <c r="I21" s="22"/>
      <c r="J21" s="22"/>
      <c r="K21" s="22"/>
      <c r="L21" s="22"/>
      <c r="M21" s="22"/>
      <c r="N21" s="75"/>
    </row>
    <row r="22" spans="1:14">
      <c r="B22" s="74">
        <f t="shared" si="0"/>
        <v>45851</v>
      </c>
      <c r="C22" s="75">
        <f t="shared" si="1"/>
        <v>0</v>
      </c>
      <c r="D22" s="76" t="s">
        <v>54</v>
      </c>
      <c r="E22" s="77"/>
      <c r="F22" s="22"/>
      <c r="G22" s="22"/>
      <c r="H22" s="22"/>
      <c r="I22" s="22"/>
      <c r="J22" s="22"/>
      <c r="K22" s="22"/>
      <c r="L22" s="22"/>
      <c r="M22" s="22"/>
      <c r="N22" s="75"/>
    </row>
    <row r="23" spans="1:14">
      <c r="B23" s="74">
        <f t="shared" si="0"/>
        <v>45852</v>
      </c>
      <c r="C23" s="75">
        <f t="shared" si="1"/>
        <v>0</v>
      </c>
      <c r="D23" s="76" t="s">
        <v>54</v>
      </c>
      <c r="E23" s="77"/>
      <c r="F23" s="22"/>
      <c r="G23" s="22"/>
      <c r="H23" s="22"/>
      <c r="I23" s="22"/>
      <c r="J23" s="22"/>
      <c r="K23" s="22"/>
      <c r="L23" s="22"/>
      <c r="M23" s="22"/>
      <c r="N23" s="75"/>
    </row>
    <row r="24" spans="1:14">
      <c r="B24" s="74">
        <f t="shared" si="0"/>
        <v>45853</v>
      </c>
      <c r="C24" s="75">
        <f t="shared" si="1"/>
        <v>0</v>
      </c>
      <c r="D24" s="76" t="s">
        <v>54</v>
      </c>
      <c r="E24" s="77"/>
      <c r="F24" s="22"/>
      <c r="G24" s="22"/>
      <c r="H24" s="22"/>
      <c r="I24" s="22"/>
      <c r="J24" s="22"/>
      <c r="K24" s="22"/>
      <c r="L24" s="22"/>
      <c r="M24" s="22"/>
      <c r="N24" s="75"/>
    </row>
    <row r="25" spans="1:14">
      <c r="B25" s="74">
        <f t="shared" si="0"/>
        <v>45854</v>
      </c>
      <c r="C25" s="75">
        <f t="shared" si="1"/>
        <v>0</v>
      </c>
      <c r="D25" s="76" t="s">
        <v>54</v>
      </c>
      <c r="E25" s="77"/>
      <c r="F25" s="22"/>
      <c r="G25" s="22"/>
      <c r="H25" s="22"/>
      <c r="I25" s="22"/>
      <c r="J25" s="22"/>
      <c r="K25" s="22"/>
      <c r="L25" s="22"/>
      <c r="M25" s="22"/>
      <c r="N25" s="75"/>
    </row>
    <row r="26" spans="1:14">
      <c r="B26" s="74">
        <f t="shared" si="0"/>
        <v>45855</v>
      </c>
      <c r="C26" s="75">
        <f t="shared" si="1"/>
        <v>0</v>
      </c>
      <c r="D26" s="76" t="s">
        <v>54</v>
      </c>
      <c r="E26" s="77"/>
      <c r="F26" s="22"/>
      <c r="G26" s="22"/>
      <c r="H26" s="22"/>
      <c r="I26" s="22"/>
      <c r="J26" s="22"/>
      <c r="K26" s="22"/>
      <c r="L26" s="22"/>
      <c r="M26" s="22"/>
      <c r="N26" s="75"/>
    </row>
    <row r="27" spans="1:14">
      <c r="B27" s="74">
        <f t="shared" si="0"/>
        <v>45856</v>
      </c>
      <c r="C27" s="75">
        <f t="shared" si="1"/>
        <v>0</v>
      </c>
      <c r="D27" s="76" t="s">
        <v>54</v>
      </c>
      <c r="E27" s="77"/>
      <c r="F27" s="22"/>
      <c r="G27" s="22"/>
      <c r="H27" s="22"/>
      <c r="I27" s="22"/>
      <c r="J27" s="22"/>
      <c r="K27" s="22"/>
      <c r="L27" s="22"/>
      <c r="M27" s="22"/>
      <c r="N27" s="75"/>
    </row>
    <row r="28" spans="1:14">
      <c r="B28" s="74">
        <f t="shared" si="0"/>
        <v>45857</v>
      </c>
      <c r="C28" s="75">
        <f t="shared" si="1"/>
        <v>0</v>
      </c>
      <c r="D28" s="76" t="s">
        <v>54</v>
      </c>
      <c r="E28" s="77"/>
      <c r="F28" s="22"/>
      <c r="G28" s="22"/>
      <c r="H28" s="22"/>
      <c r="I28" s="22"/>
      <c r="J28" s="22"/>
      <c r="K28" s="22"/>
      <c r="L28" s="22"/>
      <c r="M28" s="22"/>
      <c r="N28" s="75"/>
    </row>
    <row r="29" spans="1:14">
      <c r="B29" s="74">
        <f t="shared" si="0"/>
        <v>45858</v>
      </c>
      <c r="C29" s="75">
        <f t="shared" si="1"/>
        <v>0</v>
      </c>
      <c r="D29" s="76" t="s">
        <v>54</v>
      </c>
      <c r="E29" s="77"/>
      <c r="F29" s="22"/>
      <c r="G29" s="22"/>
      <c r="H29" s="22"/>
      <c r="I29" s="22"/>
      <c r="J29" s="22"/>
      <c r="K29" s="22"/>
      <c r="L29" s="22"/>
      <c r="M29" s="22"/>
      <c r="N29" s="75"/>
    </row>
    <row r="30" spans="1:14">
      <c r="B30" s="74">
        <f t="shared" si="0"/>
        <v>45859</v>
      </c>
      <c r="C30" s="75">
        <f t="shared" si="1"/>
        <v>0</v>
      </c>
      <c r="D30" s="76" t="s">
        <v>54</v>
      </c>
      <c r="E30" s="77"/>
      <c r="F30" s="22"/>
      <c r="G30" s="22"/>
      <c r="H30" s="22"/>
      <c r="I30" s="22"/>
      <c r="J30" s="22"/>
      <c r="K30" s="22"/>
      <c r="L30" s="22"/>
      <c r="M30" s="22"/>
      <c r="N30" s="75"/>
    </row>
    <row r="31" spans="1:14">
      <c r="B31" s="74">
        <f t="shared" si="0"/>
        <v>45860</v>
      </c>
      <c r="C31" s="75">
        <f t="shared" si="1"/>
        <v>0</v>
      </c>
      <c r="D31" s="76" t="s">
        <v>54</v>
      </c>
      <c r="E31" s="77"/>
      <c r="F31" s="22"/>
      <c r="G31" s="22"/>
      <c r="H31" s="22"/>
      <c r="I31" s="22"/>
      <c r="J31" s="22"/>
      <c r="K31" s="22"/>
      <c r="L31" s="22"/>
      <c r="M31" s="22"/>
      <c r="N31" s="75"/>
    </row>
    <row r="32" spans="1:14">
      <c r="A32" s="41"/>
      <c r="B32" s="74">
        <f t="shared" si="0"/>
        <v>45861</v>
      </c>
      <c r="C32" s="75">
        <f t="shared" si="1"/>
        <v>0</v>
      </c>
      <c r="D32" s="76" t="s">
        <v>54</v>
      </c>
      <c r="E32" s="77"/>
      <c r="F32" s="22"/>
      <c r="G32" s="22"/>
      <c r="H32" s="22"/>
      <c r="I32" s="22"/>
      <c r="J32" s="22"/>
      <c r="K32" s="22"/>
      <c r="L32" s="22"/>
      <c r="M32" s="22"/>
      <c r="N32" s="75"/>
    </row>
    <row r="33" spans="1:15">
      <c r="B33" s="74">
        <f t="shared" si="0"/>
        <v>45862</v>
      </c>
      <c r="C33" s="75">
        <f>SUM(E33:N33)</f>
        <v>0</v>
      </c>
      <c r="D33" s="76" t="s">
        <v>54</v>
      </c>
      <c r="E33" s="78"/>
      <c r="F33" s="78"/>
      <c r="G33" s="78"/>
      <c r="H33" s="78"/>
      <c r="I33" s="78"/>
      <c r="J33" s="78"/>
      <c r="K33" s="22"/>
      <c r="L33" s="78"/>
      <c r="M33" s="22"/>
      <c r="N33" s="75"/>
    </row>
    <row r="34" spans="1:15">
      <c r="B34" s="74">
        <f>B33+1</f>
        <v>45863</v>
      </c>
      <c r="C34" s="75">
        <f t="shared" si="1"/>
        <v>0</v>
      </c>
      <c r="D34" s="76" t="s">
        <v>54</v>
      </c>
      <c r="E34" s="79"/>
      <c r="F34" s="22"/>
      <c r="G34" s="22"/>
      <c r="H34" s="22"/>
      <c r="I34" s="22"/>
      <c r="J34" s="22"/>
      <c r="K34" s="22"/>
      <c r="L34" s="22"/>
      <c r="M34" s="22"/>
      <c r="N34" s="75"/>
    </row>
    <row r="35" spans="1:15">
      <c r="B35" s="74">
        <f t="shared" si="0"/>
        <v>45864</v>
      </c>
      <c r="C35" s="75">
        <f t="shared" si="1"/>
        <v>0</v>
      </c>
      <c r="D35" s="76" t="s">
        <v>54</v>
      </c>
      <c r="E35" s="77"/>
      <c r="F35" s="22"/>
      <c r="G35" s="22"/>
      <c r="H35" s="22"/>
      <c r="I35" s="22"/>
      <c r="J35" s="22"/>
      <c r="K35" s="22"/>
      <c r="L35" s="22"/>
      <c r="M35" s="22"/>
      <c r="N35" s="75"/>
    </row>
    <row r="36" spans="1:15">
      <c r="B36" s="74">
        <f t="shared" si="0"/>
        <v>45865</v>
      </c>
      <c r="C36" s="75">
        <f t="shared" si="1"/>
        <v>0</v>
      </c>
      <c r="D36" s="76" t="s">
        <v>54</v>
      </c>
      <c r="E36" s="77"/>
      <c r="F36" s="22"/>
      <c r="G36" s="22"/>
      <c r="H36" s="22"/>
      <c r="I36" s="22"/>
      <c r="J36" s="22"/>
      <c r="K36" s="22"/>
      <c r="L36" s="22"/>
      <c r="M36" s="22"/>
      <c r="N36" s="75"/>
    </row>
    <row r="37" spans="1:15">
      <c r="A37" s="41"/>
      <c r="B37" s="74">
        <f t="shared" si="0"/>
        <v>45866</v>
      </c>
      <c r="C37" s="75">
        <f t="shared" si="1"/>
        <v>0.125</v>
      </c>
      <c r="D37" s="76" t="s">
        <v>54</v>
      </c>
      <c r="E37" s="77">
        <v>6.25E-2</v>
      </c>
      <c r="F37" s="22">
        <v>6.25E-2</v>
      </c>
      <c r="G37" s="22">
        <v>0</v>
      </c>
      <c r="H37" s="22">
        <v>0</v>
      </c>
      <c r="I37" s="22">
        <v>0</v>
      </c>
      <c r="J37" s="22">
        <v>0</v>
      </c>
      <c r="K37" s="22"/>
      <c r="L37" s="22"/>
      <c r="M37" s="22"/>
      <c r="N37" s="75"/>
    </row>
    <row r="38" spans="1:15">
      <c r="B38" s="74">
        <f t="shared" si="0"/>
        <v>45867</v>
      </c>
      <c r="C38" s="75">
        <f t="shared" si="1"/>
        <v>0</v>
      </c>
      <c r="D38" s="76" t="s">
        <v>54</v>
      </c>
      <c r="E38" s="77"/>
      <c r="F38" s="22"/>
      <c r="G38" s="22"/>
      <c r="H38" s="22"/>
      <c r="I38" s="22"/>
      <c r="J38" s="22"/>
      <c r="K38" s="22"/>
      <c r="L38" s="22"/>
      <c r="M38" s="22"/>
      <c r="N38" s="75"/>
    </row>
    <row r="39" spans="1:15">
      <c r="B39" s="74">
        <f t="shared" si="0"/>
        <v>45868</v>
      </c>
      <c r="C39" s="75">
        <f t="shared" si="1"/>
        <v>0</v>
      </c>
      <c r="D39" s="76" t="s">
        <v>54</v>
      </c>
      <c r="E39" s="77"/>
      <c r="F39" s="22"/>
      <c r="G39" s="22"/>
      <c r="H39" s="22"/>
      <c r="I39" s="22"/>
      <c r="J39" s="22"/>
      <c r="K39" s="22"/>
      <c r="L39" s="22"/>
      <c r="M39" s="22"/>
      <c r="N39" s="75"/>
    </row>
    <row r="40" spans="1:15" ht="19.5" thickBot="1">
      <c r="B40" s="80">
        <f>B39+1</f>
        <v>45869</v>
      </c>
      <c r="C40" s="75">
        <f t="shared" si="1"/>
        <v>0</v>
      </c>
      <c r="D40" s="81" t="s">
        <v>54</v>
      </c>
      <c r="E40" s="82"/>
      <c r="F40" s="83"/>
      <c r="G40" s="83"/>
      <c r="H40" s="83"/>
      <c r="I40" s="83"/>
      <c r="J40" s="83"/>
      <c r="K40" s="83"/>
      <c r="L40" s="83"/>
      <c r="M40" s="83"/>
      <c r="N40" s="84"/>
    </row>
    <row r="41" spans="1:15" ht="19.5" thickBot="1">
      <c r="B41" s="56" t="s">
        <v>52</v>
      </c>
      <c r="C41" s="57"/>
      <c r="D41" s="58" t="s">
        <v>52</v>
      </c>
      <c r="E41" s="59">
        <f>SUM(E10:E40)</f>
        <v>6.25E-2</v>
      </c>
      <c r="F41" s="60">
        <f>SUM(F10:F40)</f>
        <v>6.25E-2</v>
      </c>
      <c r="G41" s="60">
        <f t="shared" ref="G41:N41" si="2">SUM(G10:G40)</f>
        <v>0</v>
      </c>
      <c r="H41" s="60">
        <f t="shared" si="2"/>
        <v>0</v>
      </c>
      <c r="I41" s="60">
        <f t="shared" si="2"/>
        <v>0</v>
      </c>
      <c r="J41" s="60">
        <f t="shared" si="2"/>
        <v>0</v>
      </c>
      <c r="K41" s="60">
        <f t="shared" si="2"/>
        <v>0</v>
      </c>
      <c r="L41" s="60">
        <f t="shared" si="2"/>
        <v>0</v>
      </c>
      <c r="M41" s="60">
        <f t="shared" si="2"/>
        <v>0</v>
      </c>
      <c r="N41" s="60">
        <f t="shared" si="2"/>
        <v>0</v>
      </c>
      <c r="O41" s="62">
        <f>SUM(E41:N41)</f>
        <v>0.125</v>
      </c>
    </row>
  </sheetData>
  <sheetProtection sheet="1"/>
  <phoneticPr fontId="1"/>
  <conditionalFormatting sqref="B10:N40">
    <cfRule type="expression" dxfId="0" priority="2">
      <formula>WEEKDAY($B10:$B$40,2) &gt;= 6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83B77-B0B9-4536-963E-DDA46AB4FE64}">
  <sheetPr codeName="Sheet2"/>
  <dimension ref="A1:K32"/>
  <sheetViews>
    <sheetView showGridLines="0" workbookViewId="0">
      <selection activeCell="B8" sqref="B8"/>
    </sheetView>
  </sheetViews>
  <sheetFormatPr defaultRowHeight="18.75"/>
  <cols>
    <col min="1" max="1" width="9.625" customWidth="1"/>
    <col min="2" max="10" width="12.125" bestFit="1" customWidth="1"/>
    <col min="11" max="11" width="15.125" bestFit="1" customWidth="1"/>
  </cols>
  <sheetData>
    <row r="1" spans="1:11">
      <c r="A1" s="46" t="s">
        <v>80</v>
      </c>
    </row>
    <row r="4" spans="1:11">
      <c r="A4" s="14" t="s">
        <v>5</v>
      </c>
      <c r="B4" s="14" t="s">
        <v>12</v>
      </c>
      <c r="C4" s="14" t="s">
        <v>13</v>
      </c>
      <c r="D4" s="14" t="s">
        <v>14</v>
      </c>
      <c r="E4" s="14" t="s">
        <v>15</v>
      </c>
      <c r="F4" s="14" t="s">
        <v>16</v>
      </c>
      <c r="G4" s="14" t="s">
        <v>17</v>
      </c>
      <c r="H4" s="14" t="s">
        <v>18</v>
      </c>
      <c r="I4" s="14" t="s">
        <v>19</v>
      </c>
      <c r="J4" s="14" t="s">
        <v>20</v>
      </c>
      <c r="K4" s="14" t="s">
        <v>21</v>
      </c>
    </row>
    <row r="5" spans="1:11">
      <c r="A5" s="1" t="s">
        <v>23</v>
      </c>
      <c r="B5" s="1" t="s">
        <v>7</v>
      </c>
      <c r="C5" s="1" t="s">
        <v>8</v>
      </c>
      <c r="D5" s="1" t="s">
        <v>34</v>
      </c>
      <c r="E5" s="11" t="s">
        <v>35</v>
      </c>
      <c r="F5" s="1"/>
      <c r="G5" s="1"/>
      <c r="H5" s="1"/>
      <c r="I5" s="1"/>
      <c r="J5" s="1"/>
      <c r="K5" s="1"/>
    </row>
    <row r="6" spans="1:11">
      <c r="A6" s="1" t="s">
        <v>46</v>
      </c>
      <c r="B6" s="1" t="s">
        <v>22</v>
      </c>
      <c r="C6" s="1"/>
      <c r="D6" s="1"/>
      <c r="E6" s="1"/>
      <c r="F6" s="1"/>
      <c r="G6" s="1"/>
      <c r="H6" s="1"/>
      <c r="I6" s="1"/>
      <c r="J6" s="1"/>
      <c r="K6" s="1"/>
    </row>
    <row r="7" spans="1:11">
      <c r="A7" s="1" t="s">
        <v>46</v>
      </c>
      <c r="B7" s="1" t="s">
        <v>9</v>
      </c>
      <c r="C7" s="1"/>
      <c r="D7" s="1"/>
      <c r="E7" s="1"/>
      <c r="F7" s="1"/>
      <c r="G7" s="1"/>
      <c r="H7" s="1"/>
      <c r="I7" s="1"/>
      <c r="J7" s="1"/>
      <c r="K7" s="1"/>
    </row>
    <row r="8" spans="1:11">
      <c r="A8" s="1"/>
      <c r="B8" s="1"/>
      <c r="C8" s="1"/>
      <c r="D8" s="1"/>
      <c r="E8" s="1"/>
      <c r="F8" s="1"/>
      <c r="G8" s="1"/>
      <c r="H8" s="1"/>
      <c r="I8" s="1"/>
      <c r="J8" s="1"/>
      <c r="K8" s="1"/>
    </row>
    <row r="9" spans="1:11">
      <c r="A9" s="1"/>
      <c r="B9" s="1"/>
      <c r="C9" s="1"/>
      <c r="D9" s="1"/>
      <c r="E9" s="1"/>
      <c r="F9" s="1"/>
      <c r="G9" s="1"/>
      <c r="H9" s="1"/>
      <c r="I9" s="1"/>
      <c r="J9" s="1"/>
      <c r="K9" s="1"/>
    </row>
    <row r="10" spans="1:11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</row>
    <row r="11" spans="1:11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</row>
    <row r="12" spans="1:11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</row>
    <row r="13" spans="1:1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1:1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</row>
    <row r="15" spans="1:1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</row>
    <row r="16" spans="1:11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</row>
    <row r="18" spans="1:11">
      <c r="A18" s="14" t="s">
        <v>6</v>
      </c>
      <c r="B18" s="14" t="s">
        <v>12</v>
      </c>
      <c r="C18" s="14" t="s">
        <v>13</v>
      </c>
      <c r="D18" s="14" t="s">
        <v>14</v>
      </c>
      <c r="E18" s="14" t="s">
        <v>15</v>
      </c>
      <c r="F18" s="14" t="s">
        <v>16</v>
      </c>
      <c r="G18" s="14" t="s">
        <v>17</v>
      </c>
      <c r="H18" s="14" t="s">
        <v>18</v>
      </c>
      <c r="I18" s="14" t="s">
        <v>19</v>
      </c>
      <c r="J18" s="14" t="s">
        <v>20</v>
      </c>
      <c r="K18" s="14" t="s">
        <v>21</v>
      </c>
    </row>
    <row r="19" spans="1:11">
      <c r="A19" s="1" t="s">
        <v>48</v>
      </c>
      <c r="B19" s="1" t="s">
        <v>7</v>
      </c>
      <c r="C19" s="1" t="s">
        <v>8</v>
      </c>
      <c r="D19" s="11" t="s">
        <v>45</v>
      </c>
      <c r="E19" s="1"/>
      <c r="F19" s="1"/>
      <c r="G19" s="1"/>
      <c r="H19" s="1"/>
      <c r="I19" s="1"/>
      <c r="J19" s="1"/>
      <c r="K19" s="1"/>
    </row>
    <row r="20" spans="1:11">
      <c r="A20" s="1" t="s">
        <v>50</v>
      </c>
      <c r="B20" s="1" t="s">
        <v>51</v>
      </c>
      <c r="C20" s="1"/>
      <c r="D20" s="1"/>
      <c r="E20" s="1"/>
      <c r="F20" s="1"/>
      <c r="G20" s="1"/>
      <c r="H20" s="1"/>
      <c r="I20" s="1"/>
      <c r="J20" s="1"/>
      <c r="K20" s="1"/>
    </row>
    <row r="21" spans="1:11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</row>
    <row r="22" spans="1:11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</row>
    <row r="23" spans="1:11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</row>
    <row r="24" spans="1:11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</row>
    <row r="25" spans="1:11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</row>
    <row r="26" spans="1:11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</row>
    <row r="27" spans="1:11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</row>
    <row r="28" spans="1:11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</row>
    <row r="29" spans="1:11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</row>
    <row r="30" spans="1:11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</row>
    <row r="31" spans="1:1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</row>
    <row r="32" spans="1:11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06879-5565-40FD-BB8B-8BE4366A3D8A}">
  <sheetPr codeName="Sheet6"/>
  <dimension ref="A1:C30"/>
  <sheetViews>
    <sheetView zoomScale="175" zoomScaleNormal="175" workbookViewId="0">
      <selection activeCell="B12" sqref="B12"/>
    </sheetView>
  </sheetViews>
  <sheetFormatPr defaultRowHeight="18.75"/>
  <cols>
    <col min="1" max="1" width="3.5" bestFit="1" customWidth="1"/>
    <col min="2" max="2" width="47.125" customWidth="1"/>
    <col min="3" max="3" width="42.25" customWidth="1"/>
  </cols>
  <sheetData>
    <row r="1" spans="1:3">
      <c r="A1" s="63" t="s">
        <v>71</v>
      </c>
      <c r="B1" s="63" t="s">
        <v>72</v>
      </c>
      <c r="C1" s="63" t="s">
        <v>73</v>
      </c>
    </row>
    <row r="2" spans="1:3">
      <c r="A2" s="1">
        <v>1</v>
      </c>
      <c r="B2" s="1"/>
      <c r="C2" s="1"/>
    </row>
    <row r="3" spans="1:3">
      <c r="A3" s="1">
        <v>2</v>
      </c>
      <c r="B3" s="1"/>
      <c r="C3" s="1"/>
    </row>
    <row r="4" spans="1:3">
      <c r="A4" s="1">
        <v>3</v>
      </c>
      <c r="B4" s="1"/>
      <c r="C4" s="1"/>
    </row>
    <row r="5" spans="1:3">
      <c r="A5" s="1">
        <v>4</v>
      </c>
      <c r="B5" s="1"/>
      <c r="C5" s="1"/>
    </row>
    <row r="6" spans="1:3">
      <c r="A6" s="1">
        <v>5</v>
      </c>
      <c r="B6" s="1"/>
      <c r="C6" s="1"/>
    </row>
    <row r="7" spans="1:3">
      <c r="A7" s="1">
        <v>6</v>
      </c>
      <c r="B7" s="1"/>
      <c r="C7" s="1"/>
    </row>
    <row r="8" spans="1:3">
      <c r="A8" s="1">
        <v>7</v>
      </c>
      <c r="B8" s="1"/>
      <c r="C8" s="1"/>
    </row>
    <row r="9" spans="1:3">
      <c r="A9" s="1">
        <v>8</v>
      </c>
      <c r="B9" s="1"/>
      <c r="C9" s="1"/>
    </row>
    <row r="10" spans="1:3">
      <c r="A10" s="1">
        <v>9</v>
      </c>
      <c r="B10" s="1"/>
      <c r="C10" s="1"/>
    </row>
    <row r="11" spans="1:3">
      <c r="A11" s="1">
        <v>10</v>
      </c>
      <c r="B11" s="1"/>
      <c r="C11" s="1"/>
    </row>
    <row r="12" spans="1:3">
      <c r="A12" s="1">
        <v>11</v>
      </c>
      <c r="B12" s="1"/>
      <c r="C12" s="1"/>
    </row>
    <row r="13" spans="1:3">
      <c r="A13" s="1">
        <v>12</v>
      </c>
      <c r="B13" s="1"/>
      <c r="C13" s="1"/>
    </row>
    <row r="14" spans="1:3">
      <c r="A14" s="1">
        <v>13</v>
      </c>
      <c r="B14" s="1"/>
      <c r="C14" s="1"/>
    </row>
    <row r="15" spans="1:3">
      <c r="A15" s="1">
        <v>14</v>
      </c>
      <c r="B15" s="1"/>
      <c r="C15" s="1"/>
    </row>
    <row r="26" spans="2:3">
      <c r="B26" t="s">
        <v>75</v>
      </c>
    </row>
    <row r="27" spans="2:3" ht="243.75">
      <c r="B27" s="12" t="s">
        <v>10</v>
      </c>
      <c r="C27" s="13" t="s">
        <v>11</v>
      </c>
    </row>
    <row r="30" spans="2:3" ht="243.75">
      <c r="B30" s="13" t="s">
        <v>29</v>
      </c>
      <c r="C30" s="13" t="s">
        <v>30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745195-BD62-47CE-966F-CF4D10CFC98A}">
  <sheetPr codeName="Sheet3"/>
  <dimension ref="C5:D8"/>
  <sheetViews>
    <sheetView topLeftCell="A2" workbookViewId="0">
      <selection activeCell="C5" sqref="C5:D8"/>
    </sheetView>
  </sheetViews>
  <sheetFormatPr defaultRowHeight="18.75"/>
  <cols>
    <col min="3" max="3" width="74.375" customWidth="1"/>
    <col min="4" max="4" width="87.125" customWidth="1"/>
  </cols>
  <sheetData>
    <row r="5" spans="3:4" ht="187.5">
      <c r="C5" s="12" t="s">
        <v>10</v>
      </c>
      <c r="D5" s="13" t="s">
        <v>11</v>
      </c>
    </row>
    <row r="8" spans="3:4" ht="206.25">
      <c r="C8" s="13" t="s">
        <v>29</v>
      </c>
      <c r="D8" s="13" t="s">
        <v>30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4</vt:i4>
      </vt:variant>
    </vt:vector>
  </HeadingPairs>
  <TitlesOfParts>
    <vt:vector size="10" baseType="lpstr">
      <vt:lpstr>データ取得</vt:lpstr>
      <vt:lpstr>データ登録</vt:lpstr>
      <vt:lpstr>月次データ</vt:lpstr>
      <vt:lpstr>マスタ</vt:lpstr>
      <vt:lpstr>改善希望,提案</vt:lpstr>
      <vt:lpstr>Sheet3</vt:lpstr>
      <vt:lpstr>ClassList</vt:lpstr>
      <vt:lpstr>ClassList_区分</vt:lpstr>
      <vt:lpstr>KeyMatrix</vt:lpstr>
      <vt:lpstr>KeyMatrix_区分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Akihiro Katsuda</dc:creator>
  <cp:lastModifiedBy>Akihiro Katsuda</cp:lastModifiedBy>
  <dcterms:created xsi:type="dcterms:W3CDTF">2025-07-24T13:08:00Z</dcterms:created>
  <dcterms:modified xsi:type="dcterms:W3CDTF">2025-07-29T12:57:45Z</dcterms:modified>
</cp:coreProperties>
</file>