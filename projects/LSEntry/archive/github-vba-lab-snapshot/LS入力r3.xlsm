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github-vba-lab\github-vba-lab\LS入力\"/>
    </mc:Choice>
  </mc:AlternateContent>
  <xr:revisionPtr revIDLastSave="0" documentId="13_ncr:1_{321C5CA9-B195-4EFF-A1B0-63C37C95F5FA}" xr6:coauthVersionLast="47" xr6:coauthVersionMax="47" xr10:uidLastSave="{00000000-0000-0000-0000-000000000000}"/>
  <bookViews>
    <workbookView xWindow="49365" yWindow="5535" windowWidth="16005" windowHeight="15240" activeTab="5" xr2:uid="{8353EE9E-DC74-4A3A-8109-005E100CDCC1}"/>
  </bookViews>
  <sheets>
    <sheet name="データ取得" sheetId="1" r:id="rId1"/>
    <sheet name="データ登録" sheetId="5" r:id="rId2"/>
    <sheet name="月次データ" sheetId="4" r:id="rId3"/>
    <sheet name="改善希望,提案" sheetId="6" r:id="rId4"/>
    <sheet name="Sheet1" sheetId="8" r:id="rId5"/>
    <sheet name="マスタ" sheetId="10" r:id="rId6"/>
  </sheets>
  <functionGroups builtInGroupCount="19"/>
  <definedNames>
    <definedName name="_xleta.T" hidden="1" xlm="1">#NAME?</definedName>
    <definedName name="IntegratedMaster_Category">#REF!</definedName>
    <definedName name="IntegratedMaster_Class">#REF!</definedName>
    <definedName name="IntegratedMaster_Keys">#REF!</definedName>
    <definedName name="IntegratedMaster_MatchType">#REF!</definedName>
    <definedName name="IntegratedMaster_Notes">#REF!</definedName>
    <definedName name="IntegratedMaster_Priority">#REF!</definedName>
    <definedName name="IntegratedMaster_RegPolicy">#REF!</definedName>
    <definedName name="IntegratedMaster_Table">#REF!</definedName>
    <definedName name="IntegratedMaster_WorkCode">#REF!</definedName>
    <definedName name="IntegratedMaster_WorkNumber">#REF!</definedName>
    <definedName name="Master_Table">tblMaster[#All]</definedName>
    <definedName name="WorkCodeWordMap">#REF!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0" i="5" l="1"/>
  <c r="C3" i="1"/>
  <c r="D3" i="5"/>
  <c r="N43" i="4"/>
  <c r="M43" i="4"/>
  <c r="L43" i="4"/>
  <c r="K43" i="4"/>
  <c r="J43" i="4"/>
  <c r="I43" i="4"/>
  <c r="H43" i="4"/>
  <c r="G43" i="4"/>
  <c r="F43" i="4"/>
  <c r="E43" i="4"/>
  <c r="C43" i="4"/>
  <c r="Q43" i="4" l="1"/>
  <c r="P12" i="4"/>
  <c r="P43" i="4" s="1"/>
  <c r="E5" i="4"/>
  <c r="E6" i="4"/>
  <c r="E7" i="4"/>
  <c r="E11" i="5"/>
  <c r="E9" i="5"/>
  <c r="E23" i="5"/>
  <c r="E12" i="5"/>
  <c r="E13" i="5"/>
  <c r="E14" i="5"/>
  <c r="E15" i="5"/>
  <c r="E16" i="5"/>
  <c r="E17" i="5"/>
  <c r="E8" i="5"/>
  <c r="E18" i="5" l="1"/>
  <c r="H18" i="5" s="1"/>
  <c r="D4" i="4" l="1"/>
  <c r="E4" i="4" s="1"/>
  <c r="D3" i="4" l="1"/>
  <c r="E3" i="4" s="1"/>
  <c r="G3" i="4" s="1"/>
  <c r="E3" i="5"/>
  <c r="D3" i="1"/>
  <c r="H4" i="4" l="1"/>
  <c r="H3" i="4"/>
  <c r="D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AKIHIRO</author>
  </authors>
  <commentList>
    <comment ref="E7" authorId="0" shapeId="0" xr:uid="{29C50EC1-D76F-4355-8B6F-CD74D38B6DC4}">
      <text>
        <r>
          <rPr>
            <b/>
            <sz val="9"/>
            <color indexed="81"/>
            <rFont val="MS P ゴシック"/>
            <family val="3"/>
            <charset val="128"/>
          </rPr>
          <t>直入力不可</t>
        </r>
      </text>
    </comment>
  </commentList>
</comments>
</file>

<file path=xl/sharedStrings.xml><?xml version="1.0" encoding="utf-8"?>
<sst xmlns="http://schemas.openxmlformats.org/spreadsheetml/2006/main" count="150" uniqueCount="119">
  <si>
    <t>任意日付</t>
    <rPh sb="0" eb="4">
      <t>ニンイヒヅケ</t>
    </rPh>
    <phoneticPr fontId="1"/>
  </si>
  <si>
    <t>機能： Excelセルから日付を読み取り、Outlookから該当日の予定を取得して
      　  シートに一覧表示します。</t>
    <rPh sb="0" eb="2">
      <t>キノウ</t>
    </rPh>
    <phoneticPr fontId="1"/>
  </si>
  <si>
    <t>←空欄時には"取得日"に前営業日が入力されます。</t>
    <rPh sb="1" eb="4">
      <t>クウランジ</t>
    </rPh>
    <rPh sb="7" eb="10">
      <t>シュトクビ</t>
    </rPh>
    <rPh sb="12" eb="16">
      <t>ゼンエイギョウビ</t>
    </rPh>
    <rPh sb="17" eb="19">
      <t>ニュウリョク</t>
    </rPh>
    <phoneticPr fontId="1"/>
  </si>
  <si>
    <t>取得日</t>
    <rPh sb="0" eb="2">
      <t>シュトク</t>
    </rPh>
    <rPh sb="2" eb="3">
      <t>ビ</t>
    </rPh>
    <phoneticPr fontId="1"/>
  </si>
  <si>
    <t>No.</t>
    <phoneticPr fontId="1"/>
  </si>
  <si>
    <t>「=LET(
    t,   UPPER(D8), 
    valid, IF(KeyMatrix&lt;&gt;"", --ISNUMBER(SEARCH(UPPER(KeyMatrix), t)), 0),
    hits, BYROW(valid, LAMBDA(r, OR(r))),
    idx,  XMATCH(TRUE, hits, 0),
    IFERROR(INDEX(ClassList, idx), "")
)」</t>
    <phoneticPr fontId="1"/>
  </si>
  <si>
    <t>[IFERROR(
    INDEX(ClassList,
          MATCH(1,
                --(MMULT(
                       --( (KeyMatrix&lt;&gt;"") * ISNUMBER(SEARCH(UPPER(KeyMatrix), UPPER(D8))) ),
                       TRANSPOSE(COLUMN(KeyMatrix)^0)
                   )&gt;0),
                0)
         ),
    "")</t>
    <phoneticPr fontId="1"/>
  </si>
  <si>
    <t>E0017</t>
    <phoneticPr fontId="1"/>
  </si>
  <si>
    <t>作番</t>
    <rPh sb="0" eb="2">
      <t>サクバン</t>
    </rPh>
    <phoneticPr fontId="1"/>
  </si>
  <si>
    <t>日付</t>
    <rPh sb="0" eb="2">
      <t>ヒヅケ</t>
    </rPh>
    <phoneticPr fontId="1"/>
  </si>
  <si>
    <t>#</t>
    <phoneticPr fontId="1"/>
  </si>
  <si>
    <t>[=IFERROR(
    INDEX(ClassList,
          MATCH(1,
                --(MMULT(
                       --( (KeyMatrix&lt;&gt;"") * ISNUMBER(SEARCH(UPPER(KeyMatrix), UPPER(D8))) ),
                       TRANSPOSE(COLUMN(KeyMatrix)^0)
                   )&gt;0),
                0)
         ),
    "")]</t>
    <phoneticPr fontId="1"/>
  </si>
  <si>
    <t>時間</t>
    <phoneticPr fontId="1"/>
  </si>
  <si>
    <t>件名</t>
    <phoneticPr fontId="1"/>
  </si>
  <si>
    <t>会議時間</t>
    <phoneticPr fontId="1"/>
  </si>
  <si>
    <t>作番名称</t>
    <rPh sb="0" eb="2">
      <t>サクバン</t>
    </rPh>
    <rPh sb="2" eb="4">
      <t>メイショウ</t>
    </rPh>
    <phoneticPr fontId="1"/>
  </si>
  <si>
    <t>登録時間</t>
    <rPh sb="0" eb="4">
      <t>トウロクジカン</t>
    </rPh>
    <phoneticPr fontId="1"/>
  </si>
  <si>
    <t>登録日</t>
    <rPh sb="0" eb="3">
      <t>トウロクビ</t>
    </rPh>
    <phoneticPr fontId="1"/>
  </si>
  <si>
    <t>作番外</t>
    <rPh sb="0" eb="2">
      <t>サクバン</t>
    </rPh>
    <rPh sb="2" eb="3">
      <t>ガイ</t>
    </rPh>
    <phoneticPr fontId="1"/>
  </si>
  <si>
    <t>登録時間</t>
    <rPh sb="0" eb="2">
      <t>トウロク</t>
    </rPh>
    <rPh sb="2" eb="4">
      <t>ジカン</t>
    </rPh>
    <phoneticPr fontId="1"/>
  </si>
  <si>
    <t>任意時間</t>
    <rPh sb="0" eb="4">
      <t>ニンイジカン</t>
    </rPh>
    <phoneticPr fontId="1"/>
  </si>
  <si>
    <t>←空欄時には"登録日"に前営業日が入力されます。</t>
    <rPh sb="1" eb="4">
      <t>クウランジ</t>
    </rPh>
    <rPh sb="7" eb="9">
      <t>トウロク</t>
    </rPh>
    <rPh sb="9" eb="10">
      <t>ビ</t>
    </rPh>
    <rPh sb="12" eb="16">
      <t>ゼンエイギョウビ</t>
    </rPh>
    <rPh sb="17" eb="19">
      <t>ニュウリョク</t>
    </rPh>
    <phoneticPr fontId="1"/>
  </si>
  <si>
    <t>作番外</t>
    <rPh sb="0" eb="3">
      <t>サクバンガイ</t>
    </rPh>
    <phoneticPr fontId="1"/>
  </si>
  <si>
    <t>3S</t>
  </si>
  <si>
    <t>3S</t>
    <phoneticPr fontId="1"/>
  </si>
  <si>
    <t>2S</t>
  </si>
  <si>
    <t>2S</t>
    <phoneticPr fontId="1"/>
  </si>
  <si>
    <t>合計</t>
    <rPh sb="0" eb="2">
      <t>ゴウケイ</t>
    </rPh>
    <phoneticPr fontId="1"/>
  </si>
  <si>
    <t>月次合計</t>
    <rPh sb="0" eb="1">
      <t>ツキ</t>
    </rPh>
    <rPh sb="2" eb="4">
      <t>ゴウケイ</t>
    </rPh>
    <phoneticPr fontId="1"/>
  </si>
  <si>
    <t>-</t>
    <phoneticPr fontId="1"/>
  </si>
  <si>
    <t>1S</t>
    <phoneticPr fontId="1"/>
  </si>
  <si>
    <t>TY11</t>
    <phoneticPr fontId="1"/>
  </si>
  <si>
    <t>C21</t>
    <phoneticPr fontId="1"/>
  </si>
  <si>
    <t>2D9</t>
    <phoneticPr fontId="1"/>
  </si>
  <si>
    <t>V12</t>
  </si>
  <si>
    <r>
      <t>時間</t>
    </r>
    <r>
      <rPr>
        <sz val="9"/>
        <color theme="1"/>
        <rFont val="游ゴシック"/>
        <family val="3"/>
        <charset val="128"/>
        <scheme val="minor"/>
      </rPr>
      <t>(HHMM)</t>
    </r>
    <rPh sb="0" eb="2">
      <t>ジカン</t>
    </rPh>
    <phoneticPr fontId="1"/>
  </si>
  <si>
    <t>分(m)</t>
    <rPh sb="0" eb="1">
      <t>フン</t>
    </rPh>
    <phoneticPr fontId="1"/>
  </si>
  <si>
    <t>目標時間(m)</t>
    <rPh sb="0" eb="2">
      <t>モクヒョウ</t>
    </rPh>
    <rPh sb="2" eb="4">
      <t>ジカン</t>
    </rPh>
    <phoneticPr fontId="1"/>
  </si>
  <si>
    <t>不足時間(m)</t>
    <rPh sb="0" eb="4">
      <t>フソクジカン</t>
    </rPh>
    <phoneticPr fontId="1"/>
  </si>
  <si>
    <t>■データ取得用シート</t>
    <rPh sb="4" eb="6">
      <t>シュトク</t>
    </rPh>
    <rPh sb="6" eb="7">
      <t>ヨウ</t>
    </rPh>
    <phoneticPr fontId="1"/>
  </si>
  <si>
    <t>■日次登録シート</t>
    <rPh sb="1" eb="3">
      <t>ニチジ</t>
    </rPh>
    <rPh sb="3" eb="5">
      <t>トウロク</t>
    </rPh>
    <phoneticPr fontId="1"/>
  </si>
  <si>
    <t>■Outlook取得データ</t>
    <rPh sb="8" eb="10">
      <t>シュトク</t>
    </rPh>
    <phoneticPr fontId="1"/>
  </si>
  <si>
    <t>分</t>
    <rPh sb="0" eb="1">
      <t>フン</t>
    </rPh>
    <phoneticPr fontId="1"/>
  </si>
  <si>
    <t>デバッグ用</t>
    <rPh sb="4" eb="5">
      <t>ヨウ</t>
    </rPh>
    <phoneticPr fontId="1"/>
  </si>
  <si>
    <t>＃</t>
    <phoneticPr fontId="1"/>
  </si>
  <si>
    <t>要望、提案</t>
    <rPh sb="0" eb="2">
      <t>ヨウボウ</t>
    </rPh>
    <rPh sb="3" eb="5">
      <t>テイアン</t>
    </rPh>
    <phoneticPr fontId="1"/>
  </si>
  <si>
    <t>操作の一例</t>
    <rPh sb="0" eb="2">
      <t>ソウサ</t>
    </rPh>
    <rPh sb="3" eb="5">
      <t>イチレイ</t>
    </rPh>
    <phoneticPr fontId="1"/>
  </si>
  <si>
    <t>■デバッグ用メモ</t>
    <rPh sb="5" eb="6">
      <t>ヨウ</t>
    </rPh>
    <phoneticPr fontId="1"/>
  </si>
  <si>
    <t>hhmm</t>
    <phoneticPr fontId="1"/>
  </si>
  <si>
    <t>未割当合計</t>
    <rPh sb="0" eb="3">
      <t>ミワリアテ</t>
    </rPh>
    <rPh sb="3" eb="5">
      <t>ゴウケイ</t>
    </rPh>
    <phoneticPr fontId="1"/>
  </si>
  <si>
    <t>行削除</t>
    <rPh sb="0" eb="3">
      <t>ギョウサクジョ</t>
    </rPh>
    <phoneticPr fontId="1"/>
  </si>
  <si>
    <t>C22</t>
  </si>
  <si>
    <t>作jio</t>
  </si>
  <si>
    <t>C26</t>
  </si>
  <si>
    <t>C26</t>
    <phoneticPr fontId="1"/>
  </si>
  <si>
    <t>1S</t>
  </si>
  <si>
    <t>E0017</t>
  </si>
  <si>
    <t>E0018</t>
  </si>
  <si>
    <t>合計時間</t>
    <rPh sb="0" eb="4">
      <t>ゴウケイジカン</t>
    </rPh>
    <phoneticPr fontId="1"/>
  </si>
  <si>
    <t>勤務時間</t>
    <rPh sb="0" eb="4">
      <t>キンムジカン</t>
    </rPh>
    <phoneticPr fontId="1"/>
  </si>
  <si>
    <t>作業ｺｰﾄﾞ</t>
    <phoneticPr fontId="1"/>
  </si>
  <si>
    <t>作業ｺｰﾄﾞ名称</t>
    <phoneticPr fontId="1"/>
  </si>
  <si>
    <t>[=IFERROR(
    INDEX(ClassList_作業ｺｰﾄﾞ,
          MATCH(1,
                --(MMULT(
                       --( (KeyMatrix_作業ｺｰﾄﾞ&lt;&gt;"") * ISNUMBER(SEARCH(UPPER(KeyMatrix_作業ｺｰﾄﾞ), UPPER(D8))) ),
                       TRANSPOSE(COLUMN(KeyMatrix_作業ｺｰﾄﾞ)^0)
                   )&gt;0),
                0)
         ),
    "")]</t>
  </si>
  <si>
    <t>エラーログ</t>
    <phoneticPr fontId="1"/>
  </si>
  <si>
    <t>■月次データ</t>
    <rPh sb="1" eb="2">
      <t>ツキ</t>
    </rPh>
    <rPh sb="2" eb="3">
      <t>ジ</t>
    </rPh>
    <phoneticPr fontId="1"/>
  </si>
  <si>
    <t>作番[自動]</t>
    <rPh sb="0" eb="2">
      <t>サクバン</t>
    </rPh>
    <rPh sb="3" eb="5">
      <t>ジドウ</t>
    </rPh>
    <phoneticPr fontId="1"/>
  </si>
  <si>
    <t>対象月</t>
    <rPh sb="0" eb="2">
      <t>タイショウ</t>
    </rPh>
    <rPh sb="2" eb="3">
      <t>ツキ</t>
    </rPh>
    <phoneticPr fontId="1"/>
  </si>
  <si>
    <t>不足時間(H:M)</t>
    <rPh sb="0" eb="4">
      <t>フソクジカン</t>
    </rPh>
    <phoneticPr fontId="1"/>
  </si>
  <si>
    <t>推奨作番</t>
    <phoneticPr fontId="1"/>
  </si>
  <si>
    <t>推奨作業コード</t>
    <phoneticPr fontId="1"/>
  </si>
  <si>
    <t>備考</t>
    <phoneticPr fontId="1"/>
  </si>
  <si>
    <t>シート</t>
  </si>
  <si>
    <t>主な役割・実行マクロ</t>
  </si>
  <si>
    <t>データ取得</t>
  </si>
  <si>
    <t>予定取得</t>
  </si>
  <si>
    <r>
      <t>Outlook の予定表から指定日付の予定を読み込み、統合マスタを使って分類・推奨値・照合キー・備考を一覧化します（</t>
    </r>
    <r>
      <rPr>
        <sz val="10"/>
        <color theme="1"/>
        <rFont val="Arial Unicode MS"/>
        <family val="2"/>
      </rPr>
      <t>ExecuteOutlookSchedule</t>
    </r>
    <r>
      <rPr>
        <sz val="11"/>
        <color theme="1"/>
        <rFont val="游ゴシック"/>
        <family val="2"/>
        <charset val="128"/>
        <scheme val="minor"/>
      </rPr>
      <t>）。:codex-file-citation:codex-file-citation</t>
    </r>
  </si>
  <si>
    <t>データ登録</t>
  </si>
  <si>
    <t>転記実行</t>
  </si>
  <si>
    <r>
      <t>「データ登録」シートの入力を日付×作業コード×作番で集計し、「月次データ」シートへ転記します。重複検知・ログ出力も含みます（</t>
    </r>
    <r>
      <rPr>
        <sz val="10"/>
        <color theme="1"/>
        <rFont val="Arial Unicode MS"/>
        <family val="2"/>
      </rPr>
      <t>TransferDataToMonthlySheet</t>
    </r>
    <r>
      <rPr>
        <sz val="11"/>
        <color theme="1"/>
        <rFont val="游ゴシック"/>
        <family val="2"/>
        <charset val="128"/>
        <scheme val="minor"/>
      </rPr>
      <t>）。:codex-file-citation:codex-file-citation</t>
    </r>
  </si>
  <si>
    <t>入力クリア</t>
  </si>
  <si>
    <r>
      <t>「データ取得」「データ登録」両シートの入力値と推奨値列を初期化し、翌日の準備を行います（</t>
    </r>
    <r>
      <rPr>
        <sz val="10"/>
        <color theme="1"/>
        <rFont val="Arial Unicode MS"/>
        <family val="2"/>
      </rPr>
      <t>ClearInputData</t>
    </r>
    <r>
      <rPr>
        <sz val="11"/>
        <color theme="1"/>
        <rFont val="游ゴシック"/>
        <family val="2"/>
        <charset val="128"/>
        <scheme val="minor"/>
      </rPr>
      <t>）。:codex-file-citation:codex-file-citation</t>
    </r>
  </si>
  <si>
    <t>月次データ</t>
  </si>
  <si>
    <t>月次更新</t>
  </si>
  <si>
    <r>
      <t>月次シートの転記済みデータを一括クリアし、対象月の日付カレンダーを再生成します（</t>
    </r>
    <r>
      <rPr>
        <sz val="10"/>
        <color theme="1"/>
        <rFont val="Arial Unicode MS"/>
        <family val="2"/>
      </rPr>
      <t>ClearMonthlyDataAndRefreshCalendar</t>
    </r>
    <r>
      <rPr>
        <sz val="11"/>
        <color theme="1"/>
        <rFont val="游ゴシック"/>
        <family val="2"/>
        <charset val="128"/>
        <scheme val="minor"/>
      </rPr>
      <t>）。:codex-file-citation:codex-file-citation</t>
    </r>
  </si>
  <si>
    <t>コピー</t>
  </si>
  <si>
    <r>
      <t>最新の入力データをタブ区切り形式に整形してクリップボードへ出力し、共有しやすくします（</t>
    </r>
    <r>
      <rPr>
        <sz val="10"/>
        <color theme="1"/>
        <rFont val="Arial Unicode MS"/>
        <family val="2"/>
      </rPr>
      <t>CopyLatestDataToClipboard</t>
    </r>
    <r>
      <rPr>
        <sz val="11"/>
        <color theme="1"/>
        <rFont val="游ゴシック"/>
        <family val="2"/>
        <charset val="128"/>
        <scheme val="minor"/>
      </rPr>
      <t>）。:codex-file-citation:codex-file-citation</t>
    </r>
  </si>
  <si>
    <t>管理者向け（別途配置推奨）</t>
  </si>
  <si>
    <t>初期設定</t>
  </si>
  <si>
    <r>
      <t>統合マスタを読み込み、月次ヘッダーや作番・作業コードのプルダウンを一括更新します（</t>
    </r>
    <r>
      <rPr>
        <sz val="10"/>
        <color theme="1"/>
        <rFont val="Arial Unicode MS"/>
        <family val="2"/>
      </rPr>
      <t>RunInitialSetup</t>
    </r>
    <r>
      <rPr>
        <sz val="11"/>
        <color theme="1"/>
        <rFont val="游ゴシック"/>
        <family val="2"/>
        <charset val="128"/>
        <scheme val="minor"/>
      </rPr>
      <t>）。配布直後や統合マスタ更新時に実行する管理用ボタンとして配置すると便利です。:codex-file-citation</t>
    </r>
  </si>
  <si>
    <t>ボタン名</t>
    <rPh sb="3" eb="4">
      <t>メイ</t>
    </rPh>
    <phoneticPr fontId="1"/>
  </si>
  <si>
    <t>エラー番号: 4_x000D_
内容: 指定した日付が月次データシートに存在しません: 09/24(水)</t>
    <phoneticPr fontId="1"/>
  </si>
  <si>
    <t>作番</t>
  </si>
  <si>
    <t>作業ｺｰﾄﾞ</t>
  </si>
  <si>
    <t>作番名称</t>
  </si>
  <si>
    <t>推奨作番名称</t>
    <phoneticPr fontId="1"/>
  </si>
  <si>
    <t>推奨作業コード名称</t>
    <phoneticPr fontId="1"/>
  </si>
  <si>
    <t>照合ﾜｰﾄﾞ</t>
    <phoneticPr fontId="1"/>
  </si>
  <si>
    <t>項番</t>
  </si>
  <si>
    <t>作業ｺｰﾄﾞ名称</t>
  </si>
  <si>
    <t>照合ﾜｰﾄﾞ1</t>
  </si>
  <si>
    <t>照合ﾜｰﾄﾞ2</t>
  </si>
  <si>
    <t>照合ﾜｰﾄﾞ3</t>
  </si>
  <si>
    <t>照合ﾜｰﾄﾞ4</t>
  </si>
  <si>
    <t>照合ﾜｰﾄﾞ5</t>
  </si>
  <si>
    <t>照合ﾜｰﾄﾞ6</t>
  </si>
  <si>
    <t>照合ﾜｰﾄﾞ7</t>
  </si>
  <si>
    <t>照合ﾜｰﾄﾞ8</t>
  </si>
  <si>
    <t>照合ﾜｰﾄﾞ9</t>
  </si>
  <si>
    <t>照合ﾜｰﾄﾞ10</t>
  </si>
  <si>
    <t>照合ﾜｰﾄﾞ11</t>
  </si>
  <si>
    <t>照合ﾜｰﾄﾞ12</t>
  </si>
  <si>
    <t>照合ﾜｰﾄﾞ13</t>
  </si>
  <si>
    <t>照合ﾜｰﾄﾞ14</t>
  </si>
  <si>
    <t>照合ﾜｰﾄﾞ15</t>
  </si>
  <si>
    <t>照合ﾜｰﾄﾞ16</t>
  </si>
  <si>
    <t>照合ﾜｰﾄﾞ17</t>
  </si>
  <si>
    <t>照合ﾜｰﾄﾞ18</t>
  </si>
  <si>
    <t>照合ﾜｰﾄﾞ19</t>
  </si>
  <si>
    <t>照合ﾜｰﾄﾞ20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</si>
</sst>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mm/dd"/>
    <numFmt numFmtId="177" formatCode="m&quot;月&quot;d&quot;日&quot;\(aaa\)"/>
    <numFmt numFmtId="178" formatCode="hhmm"/>
    <numFmt numFmtId="179" formatCode="0000"/>
    <numFmt numFmtId="180" formatCode="[h]:mm"/>
    <numFmt numFmtId="181" formatCode="[hh]:mm"/>
    <numFmt numFmtId="182" formatCode="hh:mm"/>
    <numFmt numFmtId="183" formatCode="[m]"/>
    <numFmt numFmtId="184" formatCode="mm/dd\(aaa\)"/>
    <numFmt numFmtId="185" formatCode="0_);[Red]\(0\)"/>
  </numFmts>
  <fonts count="13">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3"/>
      <charset val="128"/>
      <scheme val="minor"/>
    </font>
    <font>
      <sz val="16"/>
      <color theme="1"/>
      <name val="游ゴシック"/>
      <family val="2"/>
      <charset val="128"/>
      <scheme val="minor"/>
    </font>
    <font>
      <sz val="16"/>
      <color theme="1"/>
      <name val="游ゴシック"/>
      <family val="3"/>
      <charset val="128"/>
      <scheme val="minor"/>
    </font>
    <font>
      <sz val="9"/>
      <color theme="1"/>
      <name val="游ゴシック"/>
      <family val="3"/>
      <charset val="128"/>
      <scheme val="minor"/>
    </font>
    <font>
      <b/>
      <sz val="12"/>
      <color theme="1"/>
      <name val="游ゴシック"/>
      <family val="3"/>
      <charset val="128"/>
      <scheme val="minor"/>
    </font>
    <font>
      <b/>
      <sz val="9"/>
      <color indexed="81"/>
      <name val="MS P ゴシック"/>
      <family val="3"/>
      <charset val="128"/>
    </font>
    <font>
      <sz val="12"/>
      <color theme="1"/>
      <name val="游ゴシック"/>
      <family val="2"/>
      <charset val="128"/>
      <scheme val="minor"/>
    </font>
    <font>
      <sz val="10"/>
      <color theme="1"/>
      <name val="游ゴシック"/>
      <family val="3"/>
      <charset val="128"/>
      <scheme val="minor"/>
    </font>
    <font>
      <sz val="11"/>
      <color rgb="FF000000"/>
      <name val="游ゴシック"/>
      <family val="3"/>
      <charset val="128"/>
    </font>
    <font>
      <sz val="10"/>
      <color theme="1"/>
      <name val="Arial Unicode MS"/>
      <family val="2"/>
    </font>
  </fonts>
  <fills count="1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theme="5" tint="0.79998168889431442"/>
        <bgColor indexed="64"/>
      </patternFill>
    </fill>
    <fill>
      <patternFill patternType="solid">
        <fgColor rgb="FFD9E1F2"/>
        <bgColor indexed="64"/>
      </patternFill>
    </fill>
    <fill>
      <patternFill patternType="solid">
        <fgColor rgb="FFB4C6E7"/>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tted">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1">
    <xf numFmtId="0" fontId="0" fillId="0" borderId="0">
      <alignment vertical="center"/>
    </xf>
  </cellStyleXfs>
  <cellXfs count="123">
    <xf numFmtId="0" fontId="0" fillId="0" borderId="0" xfId="0">
      <alignment vertical="center"/>
    </xf>
    <xf numFmtId="0" fontId="0" fillId="0" borderId="1" xfId="0" applyBorder="1">
      <alignment vertical="center"/>
    </xf>
    <xf numFmtId="0" fontId="0" fillId="0" borderId="0" xfId="0" applyProtection="1">
      <alignment vertical="center"/>
      <protection locked="0"/>
    </xf>
    <xf numFmtId="0" fontId="2" fillId="0" borderId="0" xfId="0" applyFont="1" applyProtection="1">
      <alignment vertical="center"/>
      <protection locked="0"/>
    </xf>
    <xf numFmtId="176" fontId="2" fillId="0" borderId="5" xfId="0" applyNumberFormat="1" applyFont="1" applyBorder="1" applyProtection="1">
      <alignment vertical="center"/>
      <protection locked="0"/>
    </xf>
    <xf numFmtId="0" fontId="3" fillId="0" borderId="4" xfId="0" applyFont="1" applyBorder="1" applyProtection="1">
      <alignment vertical="center"/>
      <protection locked="0"/>
    </xf>
    <xf numFmtId="0" fontId="3" fillId="0" borderId="0" xfId="0" applyFont="1" applyProtection="1">
      <alignment vertical="center"/>
      <protection locked="0"/>
    </xf>
    <xf numFmtId="0" fontId="0" fillId="2" borderId="2" xfId="0" applyFill="1" applyBorder="1" applyProtection="1">
      <alignment vertical="center"/>
      <protection locked="0"/>
    </xf>
    <xf numFmtId="176" fontId="0" fillId="2" borderId="3" xfId="0" applyNumberFormat="1" applyFill="1" applyBorder="1">
      <alignment vertical="center"/>
    </xf>
    <xf numFmtId="0" fontId="4" fillId="0" borderId="0" xfId="0" applyFont="1" applyProtection="1">
      <alignment vertical="center"/>
      <protection locked="0"/>
    </xf>
    <xf numFmtId="0" fontId="0" fillId="0" borderId="1" xfId="0" applyBorder="1" applyProtection="1">
      <alignment vertical="center"/>
      <protection locked="0"/>
    </xf>
    <xf numFmtId="49" fontId="0" fillId="0" borderId="1" xfId="0" applyNumberFormat="1" applyBorder="1" applyProtection="1">
      <alignment vertical="center"/>
      <protection locked="0"/>
    </xf>
    <xf numFmtId="0" fontId="0" fillId="0" borderId="0" xfId="0" applyAlignment="1" applyProtection="1">
      <alignment vertical="center" wrapText="1"/>
      <protection locked="0"/>
    </xf>
    <xf numFmtId="0" fontId="0" fillId="0" borderId="0" xfId="0" applyAlignment="1">
      <alignment vertical="center" wrapText="1"/>
    </xf>
    <xf numFmtId="0" fontId="0" fillId="3" borderId="1" xfId="0" applyFill="1" applyBorder="1">
      <alignment vertical="center"/>
    </xf>
    <xf numFmtId="0" fontId="2" fillId="3" borderId="1" xfId="0" applyFont="1" applyFill="1" applyBorder="1" applyProtection="1">
      <alignment vertical="center"/>
      <protection locked="0"/>
    </xf>
    <xf numFmtId="0" fontId="0" fillId="0" borderId="0" xfId="0" applyAlignment="1">
      <alignment horizontal="right" vertical="center"/>
    </xf>
    <xf numFmtId="0" fontId="2" fillId="3" borderId="7" xfId="0" applyFont="1" applyFill="1" applyBorder="1" applyProtection="1">
      <alignment vertical="center"/>
      <protection locked="0"/>
    </xf>
    <xf numFmtId="0" fontId="2" fillId="3" borderId="6" xfId="0" applyFont="1" applyFill="1" applyBorder="1" applyProtection="1">
      <alignment vertical="center"/>
      <protection locked="0"/>
    </xf>
    <xf numFmtId="0" fontId="0" fillId="0" borderId="6" xfId="0" applyBorder="1" applyProtection="1">
      <alignment vertical="center"/>
      <protection locked="0"/>
    </xf>
    <xf numFmtId="176" fontId="2" fillId="0" borderId="0" xfId="0" applyNumberFormat="1" applyFont="1" applyProtection="1">
      <alignment vertical="center"/>
      <protection locked="0"/>
    </xf>
    <xf numFmtId="178" fontId="0" fillId="0" borderId="1" xfId="0" applyNumberFormat="1" applyBorder="1" applyProtection="1">
      <alignment vertical="center"/>
      <protection locked="0"/>
    </xf>
    <xf numFmtId="178" fontId="0" fillId="0" borderId="1" xfId="0" applyNumberFormat="1" applyBorder="1" applyAlignment="1">
      <alignment vertical="center" wrapText="1"/>
    </xf>
    <xf numFmtId="49" fontId="0" fillId="0" borderId="0" xfId="0" applyNumberFormat="1" applyProtection="1">
      <alignment vertical="center"/>
      <protection locked="0"/>
    </xf>
    <xf numFmtId="0" fontId="0" fillId="5" borderId="11" xfId="0" applyFill="1" applyBorder="1">
      <alignment vertical="center"/>
    </xf>
    <xf numFmtId="0" fontId="0" fillId="5" borderId="3" xfId="0" applyFill="1" applyBorder="1">
      <alignment vertical="center"/>
    </xf>
    <xf numFmtId="0" fontId="0" fillId="3" borderId="4" xfId="0" applyFill="1" applyBorder="1">
      <alignment vertical="center"/>
    </xf>
    <xf numFmtId="0" fontId="0" fillId="3" borderId="17" xfId="0" applyFill="1" applyBorder="1">
      <alignment vertical="center"/>
    </xf>
    <xf numFmtId="0" fontId="0" fillId="3" borderId="5" xfId="0" applyFill="1" applyBorder="1">
      <alignment vertical="center"/>
    </xf>
    <xf numFmtId="0" fontId="0" fillId="5" borderId="21" xfId="0" applyFill="1" applyBorder="1">
      <alignment vertical="center"/>
    </xf>
    <xf numFmtId="0" fontId="0" fillId="3" borderId="20" xfId="0" applyFill="1" applyBorder="1">
      <alignment vertical="center"/>
    </xf>
    <xf numFmtId="0" fontId="0" fillId="2" borderId="12" xfId="0" applyFill="1" applyBorder="1">
      <alignment vertical="center"/>
    </xf>
    <xf numFmtId="0" fontId="0" fillId="2" borderId="3" xfId="0" applyFill="1" applyBorder="1">
      <alignment vertical="center"/>
    </xf>
    <xf numFmtId="0" fontId="0" fillId="0" borderId="16" xfId="0" applyBorder="1" applyProtection="1">
      <alignment vertical="center"/>
      <protection locked="0"/>
    </xf>
    <xf numFmtId="0" fontId="0" fillId="0" borderId="17" xfId="0" applyBorder="1" applyProtection="1">
      <alignment vertical="center"/>
      <protection locked="0"/>
    </xf>
    <xf numFmtId="0" fontId="0" fillId="0" borderId="5" xfId="0" applyBorder="1" applyProtection="1">
      <alignment vertical="center"/>
      <protection locked="0"/>
    </xf>
    <xf numFmtId="0" fontId="0" fillId="5" borderId="26" xfId="0" applyFill="1" applyBorder="1" applyAlignment="1">
      <alignment horizontal="center" vertical="center"/>
    </xf>
    <xf numFmtId="0" fontId="0" fillId="3" borderId="27" xfId="0" applyFill="1" applyBorder="1" applyAlignment="1">
      <alignment horizontal="center" vertical="center"/>
    </xf>
    <xf numFmtId="178" fontId="0" fillId="0" borderId="0" xfId="0" applyNumberFormat="1">
      <alignment vertical="center"/>
    </xf>
    <xf numFmtId="178" fontId="0" fillId="6" borderId="0" xfId="0" applyNumberFormat="1" applyFill="1">
      <alignment vertical="center"/>
    </xf>
    <xf numFmtId="0" fontId="0" fillId="5" borderId="2" xfId="0" applyFill="1" applyBorder="1" applyAlignment="1">
      <alignment horizontal="center" vertical="center"/>
    </xf>
    <xf numFmtId="0" fontId="0" fillId="0" borderId="15" xfId="0" applyBorder="1" applyAlignment="1">
      <alignment horizontal="center" vertical="center"/>
    </xf>
    <xf numFmtId="0" fontId="0" fillId="0" borderId="4" xfId="0" applyBorder="1" applyAlignment="1">
      <alignment horizontal="center" vertical="center"/>
    </xf>
    <xf numFmtId="0" fontId="2" fillId="0" borderId="0" xfId="0" applyFont="1">
      <alignment vertical="center"/>
    </xf>
    <xf numFmtId="0" fontId="5" fillId="0" borderId="0" xfId="0" applyFont="1">
      <alignment vertical="center"/>
    </xf>
    <xf numFmtId="0" fontId="0" fillId="0" borderId="1" xfId="0" applyBorder="1" applyAlignment="1">
      <alignment horizontal="right" vertical="center"/>
    </xf>
    <xf numFmtId="0" fontId="0" fillId="2" borderId="1" xfId="0" applyFill="1" applyBorder="1">
      <alignment vertical="center"/>
    </xf>
    <xf numFmtId="0" fontId="0" fillId="0" borderId="0" xfId="0" applyAlignment="1"/>
    <xf numFmtId="178" fontId="7" fillId="0" borderId="0" xfId="0" applyNumberFormat="1" applyFont="1" applyAlignment="1">
      <alignment vertical="top"/>
    </xf>
    <xf numFmtId="0" fontId="7" fillId="0" borderId="0" xfId="0" applyFont="1" applyAlignment="1">
      <alignment vertical="top"/>
    </xf>
    <xf numFmtId="0" fontId="0" fillId="7" borderId="1" xfId="0" applyFill="1" applyBorder="1">
      <alignment vertical="center"/>
    </xf>
    <xf numFmtId="0" fontId="0" fillId="5" borderId="12" xfId="0" applyFill="1" applyBorder="1" applyProtection="1">
      <alignment vertical="center"/>
      <protection locked="0"/>
    </xf>
    <xf numFmtId="0" fontId="0" fillId="5" borderId="18" xfId="0" applyFill="1" applyBorder="1" applyProtection="1">
      <alignment vertical="center"/>
      <protection locked="0"/>
    </xf>
    <xf numFmtId="0" fontId="0" fillId="0" borderId="7" xfId="0" applyBorder="1">
      <alignment vertical="center"/>
    </xf>
    <xf numFmtId="178" fontId="0" fillId="0" borderId="27" xfId="0" applyNumberFormat="1" applyBorder="1" applyAlignment="1">
      <alignment vertical="center" wrapText="1"/>
    </xf>
    <xf numFmtId="0" fontId="0" fillId="5" borderId="30" xfId="0" applyFill="1" applyBorder="1">
      <alignment vertical="center"/>
    </xf>
    <xf numFmtId="0" fontId="3" fillId="8" borderId="17" xfId="0" applyFont="1" applyFill="1" applyBorder="1">
      <alignment vertical="center"/>
    </xf>
    <xf numFmtId="0" fontId="3" fillId="9" borderId="12" xfId="0" applyFont="1" applyFill="1" applyBorder="1" applyProtection="1">
      <alignment vertical="center"/>
      <protection locked="0"/>
    </xf>
    <xf numFmtId="0" fontId="3" fillId="8" borderId="5" xfId="0" applyFont="1" applyFill="1" applyBorder="1">
      <alignment vertical="center"/>
    </xf>
    <xf numFmtId="0" fontId="3" fillId="9" borderId="3" xfId="0" applyFont="1" applyFill="1" applyBorder="1" applyProtection="1">
      <alignment vertical="center"/>
      <protection locked="0"/>
    </xf>
    <xf numFmtId="180" fontId="0" fillId="0" borderId="0" xfId="0" applyNumberFormat="1">
      <alignment vertical="center"/>
    </xf>
    <xf numFmtId="180" fontId="2" fillId="0" borderId="0" xfId="0" applyNumberFormat="1" applyFont="1">
      <alignment vertical="center"/>
    </xf>
    <xf numFmtId="0" fontId="0" fillId="0" borderId="7" xfId="0" applyBorder="1" applyProtection="1">
      <alignment vertical="center"/>
      <protection locked="0"/>
    </xf>
    <xf numFmtId="20" fontId="0" fillId="0" borderId="0" xfId="0" applyNumberFormat="1" applyAlignment="1">
      <alignment vertical="center" wrapText="1"/>
    </xf>
    <xf numFmtId="178" fontId="0" fillId="0" borderId="0" xfId="0" applyNumberFormat="1" applyAlignment="1">
      <alignment vertical="center" wrapText="1"/>
    </xf>
    <xf numFmtId="180" fontId="0" fillId="0" borderId="1" xfId="0" applyNumberFormat="1" applyBorder="1">
      <alignment vertical="center"/>
    </xf>
    <xf numFmtId="180" fontId="7" fillId="0" borderId="0" xfId="0" applyNumberFormat="1" applyFont="1" applyAlignment="1">
      <alignment vertical="top"/>
    </xf>
    <xf numFmtId="183" fontId="7" fillId="0" borderId="0" xfId="0" applyNumberFormat="1" applyFont="1" applyAlignment="1">
      <alignment vertical="top"/>
    </xf>
    <xf numFmtId="179" fontId="0" fillId="0" borderId="0" xfId="0" applyNumberFormat="1" applyAlignment="1">
      <alignment horizontal="right" vertical="center"/>
    </xf>
    <xf numFmtId="0" fontId="0" fillId="5" borderId="31" xfId="0" applyFill="1" applyBorder="1">
      <alignment vertical="center"/>
    </xf>
    <xf numFmtId="179" fontId="0" fillId="4" borderId="32" xfId="0" applyNumberFormat="1" applyFill="1" applyBorder="1" applyAlignment="1" applyProtection="1">
      <alignment vertical="center" wrapText="1"/>
      <protection locked="0"/>
    </xf>
    <xf numFmtId="179" fontId="0" fillId="4" borderId="33" xfId="0" applyNumberFormat="1" applyFill="1" applyBorder="1" applyAlignment="1" applyProtection="1">
      <alignment vertical="center" wrapText="1"/>
      <protection locked="0"/>
    </xf>
    <xf numFmtId="178" fontId="0" fillId="0" borderId="16" xfId="0" applyNumberFormat="1" applyBorder="1" applyAlignment="1">
      <alignment vertical="center" wrapText="1"/>
    </xf>
    <xf numFmtId="178" fontId="0" fillId="0" borderId="5" xfId="0" applyNumberFormat="1" applyBorder="1" applyAlignment="1">
      <alignment vertical="center" wrapText="1"/>
    </xf>
    <xf numFmtId="1" fontId="0" fillId="0" borderId="1" xfId="0" applyNumberFormat="1" applyBorder="1" applyAlignment="1">
      <alignment horizontal="right" vertical="center"/>
    </xf>
    <xf numFmtId="1" fontId="0" fillId="0" borderId="1" xfId="0" applyNumberFormat="1" applyBorder="1">
      <alignment vertical="center"/>
    </xf>
    <xf numFmtId="181" fontId="0" fillId="0" borderId="0" xfId="0" applyNumberFormat="1">
      <alignment vertical="center"/>
    </xf>
    <xf numFmtId="20" fontId="0" fillId="0" borderId="0" xfId="0" applyNumberFormat="1">
      <alignment vertical="center"/>
    </xf>
    <xf numFmtId="0" fontId="9" fillId="0" borderId="0" xfId="0" applyFont="1" applyAlignment="1">
      <alignment vertical="top"/>
    </xf>
    <xf numFmtId="0" fontId="5" fillId="0" borderId="0" xfId="0" applyFont="1" applyAlignment="1">
      <alignment vertical="top"/>
    </xf>
    <xf numFmtId="0" fontId="0" fillId="0" borderId="0" xfId="0" applyAlignment="1">
      <alignment vertical="top"/>
    </xf>
    <xf numFmtId="56" fontId="0" fillId="0" borderId="0" xfId="0" applyNumberFormat="1" applyAlignment="1">
      <alignment vertical="top"/>
    </xf>
    <xf numFmtId="0" fontId="10" fillId="2" borderId="1" xfId="0" applyFont="1" applyFill="1" applyBorder="1">
      <alignment vertical="center"/>
    </xf>
    <xf numFmtId="177" fontId="2" fillId="0" borderId="10" xfId="0" applyNumberFormat="1" applyFont="1" applyBorder="1">
      <alignment vertical="center"/>
    </xf>
    <xf numFmtId="180" fontId="2" fillId="0" borderId="24" xfId="0" applyNumberFormat="1" applyFont="1" applyBorder="1">
      <alignment vertical="center"/>
    </xf>
    <xf numFmtId="180" fontId="2" fillId="0" borderId="25" xfId="0" applyNumberFormat="1" applyFont="1" applyBorder="1">
      <alignment vertical="center"/>
    </xf>
    <xf numFmtId="177" fontId="2" fillId="0" borderId="22" xfId="0" applyNumberFormat="1" applyFont="1" applyBorder="1">
      <alignment vertical="center"/>
    </xf>
    <xf numFmtId="180" fontId="2" fillId="0" borderId="23" xfId="0" applyNumberFormat="1" applyFont="1" applyBorder="1">
      <alignment vertical="center"/>
    </xf>
    <xf numFmtId="182" fontId="0" fillId="0" borderId="16" xfId="0" applyNumberFormat="1" applyBorder="1" applyProtection="1">
      <alignment vertical="center"/>
      <protection locked="0"/>
    </xf>
    <xf numFmtId="182" fontId="0" fillId="0" borderId="27" xfId="0" applyNumberFormat="1" applyBorder="1" applyAlignment="1" applyProtection="1">
      <alignment horizontal="center" vertical="center"/>
      <protection locked="0"/>
    </xf>
    <xf numFmtId="182" fontId="0" fillId="0" borderId="20" xfId="0" applyNumberFormat="1" applyBorder="1" applyProtection="1">
      <alignment vertical="center"/>
      <protection locked="0"/>
    </xf>
    <xf numFmtId="182" fontId="0" fillId="0" borderId="17" xfId="0" applyNumberFormat="1" applyBorder="1" applyProtection="1">
      <alignment vertical="center"/>
      <protection locked="0"/>
    </xf>
    <xf numFmtId="182" fontId="0" fillId="0" borderId="5" xfId="0" applyNumberFormat="1" applyBorder="1" applyProtection="1">
      <alignment vertical="center"/>
      <protection locked="0"/>
    </xf>
    <xf numFmtId="184" fontId="0" fillId="0" borderId="4" xfId="0" applyNumberFormat="1" applyBorder="1" applyProtection="1">
      <alignment vertical="center"/>
      <protection locked="0"/>
    </xf>
    <xf numFmtId="185" fontId="3" fillId="0" borderId="5" xfId="0" applyNumberFormat="1" applyFont="1" applyBorder="1" applyProtection="1">
      <alignment vertical="center"/>
      <protection locked="0"/>
    </xf>
    <xf numFmtId="185" fontId="0" fillId="0" borderId="15" xfId="0" applyNumberFormat="1" applyBorder="1" applyProtection="1">
      <alignment vertical="center"/>
      <protection locked="0"/>
    </xf>
    <xf numFmtId="184" fontId="3" fillId="0" borderId="5" xfId="0" applyNumberFormat="1" applyFont="1" applyBorder="1" applyProtection="1">
      <alignment vertical="center"/>
      <protection locked="0"/>
    </xf>
    <xf numFmtId="184" fontId="0" fillId="2" borderId="3" xfId="0" applyNumberFormat="1" applyFill="1" applyBorder="1">
      <alignment vertical="center"/>
    </xf>
    <xf numFmtId="0" fontId="0" fillId="0" borderId="0" xfId="0" applyAlignment="1" applyProtection="1">
      <alignment vertical="top" wrapText="1"/>
      <protection locked="0"/>
    </xf>
    <xf numFmtId="0" fontId="5" fillId="0" borderId="0" xfId="0" applyFont="1" applyAlignment="1">
      <alignment horizontal="center" vertical="center"/>
    </xf>
    <xf numFmtId="0" fontId="0" fillId="0" borderId="35" xfId="0" applyBorder="1"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0" fillId="0" borderId="37" xfId="0" applyBorder="1" applyAlignment="1" applyProtection="1">
      <alignment horizontal="left" vertical="top" wrapText="1"/>
      <protection locked="0"/>
    </xf>
    <xf numFmtId="0" fontId="0" fillId="0" borderId="34"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38" xfId="0" applyBorder="1" applyAlignment="1" applyProtection="1">
      <alignment horizontal="left" vertical="top" wrapText="1"/>
      <protection locked="0"/>
    </xf>
    <xf numFmtId="0" fontId="0" fillId="0" borderId="39" xfId="0" applyBorder="1" applyAlignment="1" applyProtection="1">
      <alignment horizontal="left" vertical="top" wrapText="1"/>
      <protection locked="0"/>
    </xf>
    <xf numFmtId="0" fontId="0" fillId="0" borderId="40" xfId="0" applyBorder="1" applyAlignment="1" applyProtection="1">
      <alignment horizontal="left" vertical="top" wrapText="1"/>
      <protection locked="0"/>
    </xf>
    <xf numFmtId="0" fontId="0" fillId="0" borderId="19" xfId="0" applyBorder="1" applyAlignment="1" applyProtection="1">
      <alignment horizontal="left" vertical="top" wrapText="1"/>
      <protection locked="0"/>
    </xf>
    <xf numFmtId="0" fontId="2" fillId="0" borderId="0" xfId="0" applyFont="1" applyAlignment="1">
      <alignment horizontal="center" vertical="center" wrapText="1"/>
    </xf>
    <xf numFmtId="182" fontId="0" fillId="0" borderId="14" xfId="0" applyNumberFormat="1" applyFill="1" applyBorder="1" applyProtection="1">
      <alignment vertical="center"/>
      <protection locked="0"/>
    </xf>
    <xf numFmtId="182" fontId="0" fillId="0" borderId="28" xfId="0" applyNumberFormat="1" applyFill="1" applyBorder="1" applyAlignment="1" applyProtection="1">
      <alignment horizontal="center" vertical="center"/>
      <protection locked="0"/>
    </xf>
    <xf numFmtId="182" fontId="0" fillId="0" borderId="19" xfId="0" applyNumberFormat="1" applyFill="1" applyBorder="1" applyProtection="1">
      <alignment vertical="center"/>
      <protection locked="0"/>
    </xf>
    <xf numFmtId="182" fontId="0" fillId="0" borderId="8" xfId="0" applyNumberFormat="1" applyFill="1" applyBorder="1" applyProtection="1">
      <alignment vertical="center"/>
      <protection locked="0"/>
    </xf>
    <xf numFmtId="182" fontId="0" fillId="0" borderId="16" xfId="0" applyNumberFormat="1" applyFill="1" applyBorder="1" applyProtection="1">
      <alignment vertical="center"/>
      <protection locked="0"/>
    </xf>
    <xf numFmtId="182" fontId="0" fillId="0" borderId="29" xfId="0" applyNumberFormat="1" applyFill="1" applyBorder="1" applyAlignment="1" applyProtection="1">
      <alignment horizontal="center" vertical="center"/>
      <protection locked="0"/>
    </xf>
    <xf numFmtId="182" fontId="0" fillId="0" borderId="9" xfId="0" applyNumberFormat="1" applyFill="1" applyBorder="1" applyProtection="1">
      <alignment vertical="center"/>
      <protection locked="0"/>
    </xf>
    <xf numFmtId="181" fontId="0" fillId="0" borderId="1" xfId="0" applyNumberFormat="1" applyFill="1" applyBorder="1" applyProtection="1">
      <alignment vertical="center"/>
      <protection locked="0"/>
    </xf>
    <xf numFmtId="182" fontId="0" fillId="0" borderId="1" xfId="0" applyNumberFormat="1" applyFill="1" applyBorder="1" applyProtection="1">
      <alignment vertical="center"/>
      <protection locked="0"/>
    </xf>
    <xf numFmtId="182" fontId="0" fillId="0" borderId="1" xfId="0" applyNumberFormat="1" applyFill="1" applyBorder="1" applyAlignment="1" applyProtection="1">
      <alignment vertical="center" wrapText="1"/>
      <protection locked="0"/>
    </xf>
    <xf numFmtId="182" fontId="0" fillId="0" borderId="0" xfId="0" applyNumberFormat="1" applyFill="1" applyProtection="1">
      <alignment vertical="center"/>
      <protection locked="0"/>
    </xf>
    <xf numFmtId="184" fontId="0" fillId="0" borderId="13" xfId="0" applyNumberFormat="1" applyFill="1" applyBorder="1" applyProtection="1">
      <alignment vertical="center"/>
      <protection locked="0"/>
    </xf>
    <xf numFmtId="184" fontId="0" fillId="0" borderId="15" xfId="0" applyNumberFormat="1" applyFill="1" applyBorder="1" applyProtection="1">
      <alignment vertical="center"/>
      <protection locked="0"/>
    </xf>
  </cellXfs>
  <cellStyles count="1">
    <cellStyle name="標準" xfId="0" builtinId="0"/>
  </cellStyles>
  <dxfs count="2">
    <dxf>
      <fill>
        <patternFill>
          <bgColor theme="0" tint="-0.24994659260841701"/>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952500</xdr:colOff>
          <xdr:row>1</xdr:row>
          <xdr:rowOff>447675</xdr:rowOff>
        </xdr:from>
        <xdr:to>
          <xdr:col>3</xdr:col>
          <xdr:colOff>1752600</xdr:colOff>
          <xdr:row>2</xdr:row>
          <xdr:rowOff>142875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データ取得</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438150</xdr:colOff>
          <xdr:row>0</xdr:row>
          <xdr:rowOff>314325</xdr:rowOff>
        </xdr:from>
        <xdr:to>
          <xdr:col>7</xdr:col>
          <xdr:colOff>771525</xdr:colOff>
          <xdr:row>2</xdr:row>
          <xdr:rowOff>133350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コピー&amp;転記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561975</xdr:colOff>
          <xdr:row>0</xdr:row>
          <xdr:rowOff>314325</xdr:rowOff>
        </xdr:from>
        <xdr:to>
          <xdr:col>6</xdr:col>
          <xdr:colOff>0</xdr:colOff>
          <xdr:row>2</xdr:row>
          <xdr:rowOff>142875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日次クリア</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F511D67-ADE0-4069-B109-DEC9C6684B4A}" name="tblMaster" displayName="tblMaster" ref="A1:Y2" insertRow="1" totalsRowShown="0">
  <autoFilter ref="A1:Y2" xr:uid="{FF511D67-ADE0-4069-B109-DEC9C6684B4A}"/>
  <tableColumns count="25">
    <tableColumn id="1" xr3:uid="{033B5860-98CF-4D4A-A994-7459F29535AD}" name="項番"/>
    <tableColumn id="2" xr3:uid="{6E00B0E8-D872-43AE-8E2F-E725DF4FF025}" name="作番"/>
    <tableColumn id="3" xr3:uid="{D660EF9B-C87F-44BE-A868-1A64699C9DF6}" name="作番名称"/>
    <tableColumn id="4" xr3:uid="{1ABC768B-546D-4D3E-88BA-98EB46ED08B9}" name="作業ｺｰﾄﾞ"/>
    <tableColumn id="5" xr3:uid="{615ACAA0-2F01-46A9-A6A9-8DC799865F5E}" name="作業ｺｰﾄﾞ名称"/>
    <tableColumn id="6" xr3:uid="{ABE4738B-62F0-439F-B24D-288D50491DC8}" name="照合ﾜｰﾄﾞ1"/>
    <tableColumn id="7" xr3:uid="{1042E69A-19A5-4E9E-B829-E60C55FCE247}" name="照合ﾜｰﾄﾞ2"/>
    <tableColumn id="8" xr3:uid="{2FADD97C-A6B0-4FF6-8960-BBA31E9C76EA}" name="照合ﾜｰﾄﾞ3"/>
    <tableColumn id="9" xr3:uid="{498DE02D-5D0E-4245-B7F2-57D0BAC2FB06}" name="照合ﾜｰﾄﾞ4"/>
    <tableColumn id="10" xr3:uid="{1470162F-E00C-4B04-BC4B-FDF4D3C2D7D4}" name="照合ﾜｰﾄﾞ5"/>
    <tableColumn id="11" xr3:uid="{A850C5EB-D93C-49D0-859E-C5969359C682}" name="照合ﾜｰﾄﾞ6"/>
    <tableColumn id="12" xr3:uid="{16F3DD64-6CCF-4806-A0CB-6D53F76FBA8F}" name="照合ﾜｰﾄﾞ7"/>
    <tableColumn id="13" xr3:uid="{B25E7235-0C4E-49F0-B8C7-A16B809EBE06}" name="照合ﾜｰﾄﾞ8"/>
    <tableColumn id="14" xr3:uid="{E70B5493-F2EF-4107-B8AD-4D71D96BD955}" name="照合ﾜｰﾄﾞ9"/>
    <tableColumn id="15" xr3:uid="{967A5A04-4EA6-43AF-9644-77E44E984015}" name="照合ﾜｰﾄﾞ10"/>
    <tableColumn id="16" xr3:uid="{F192BDE8-7FAA-4E77-81E5-EC818CEF44A9}" name="照合ﾜｰﾄﾞ11"/>
    <tableColumn id="17" xr3:uid="{5892BC12-AB1D-4B06-9D97-0F5A1212AAAD}" name="照合ﾜｰﾄﾞ12"/>
    <tableColumn id="18" xr3:uid="{A08A7DE2-676C-47D4-A61C-E17E4670310E}" name="照合ﾜｰﾄﾞ13"/>
    <tableColumn id="19" xr3:uid="{204C3BB6-A36C-458F-A348-7A415D15818E}" name="照合ﾜｰﾄﾞ14"/>
    <tableColumn id="20" xr3:uid="{DB3116B9-1F4E-416D-B261-3D171909D8B9}" name="照合ﾜｰﾄﾞ15"/>
    <tableColumn id="21" xr3:uid="{19A95B3E-4FF1-42C2-B187-330FB165AC7C}" name="照合ﾜｰﾄﾞ16"/>
    <tableColumn id="22" xr3:uid="{CE0DE3EE-B1EC-4270-8310-8D0F47AF40EA}" name="照合ﾜｰﾄﾞ17"/>
    <tableColumn id="23" xr3:uid="{67E192DE-9734-4E21-961E-A88BE673016B}" name="照合ﾜｰﾄﾞ18"/>
    <tableColumn id="24" xr3:uid="{AF8DDFFB-C140-47C5-B8E8-E4E2FBDB0017}" name="照合ﾜｰﾄﾞ19"/>
    <tableColumn id="25" xr3:uid="{5F646DBE-D207-449E-AD90-4C53D470CC5A}" name="照合ﾜｰﾄﾞ20"/>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5EC28-F2F3-43E3-A36D-60222CF0D683}">
  <sheetPr codeName="Sheet1"/>
  <dimension ref="A1:K25"/>
  <sheetViews>
    <sheetView showGridLines="0" zoomScale="145" zoomScaleNormal="145" workbookViewId="0">
      <selection activeCell="G9" sqref="G9"/>
    </sheetView>
  </sheetViews>
  <sheetFormatPr defaultRowHeight="18.75"/>
  <cols>
    <col min="1" max="1" width="3.375" style="2" customWidth="1"/>
    <col min="2" max="2" width="8.5" style="2" customWidth="1"/>
    <col min="3" max="3" width="10.375" style="2" bestFit="1" customWidth="1"/>
    <col min="4" max="4" width="42" style="2" customWidth="1"/>
    <col min="5" max="5" width="9.25" style="2" bestFit="1" customWidth="1"/>
    <col min="6" max="6" width="9.125" style="2" customWidth="1"/>
    <col min="7" max="7" width="15.25" style="2" customWidth="1"/>
    <col min="8" max="8" width="10.375" style="2" customWidth="1"/>
    <col min="9" max="9" width="15.375" style="2" bestFit="1" customWidth="1"/>
    <col min="10" max="16384" width="9" style="2"/>
  </cols>
  <sheetData>
    <row r="1" spans="1:11" ht="28.5" customHeight="1">
      <c r="A1" s="9" t="s">
        <v>39</v>
      </c>
    </row>
    <row r="2" spans="1:11" ht="49.5" customHeight="1" thickBot="1">
      <c r="B2" s="98" t="s">
        <v>1</v>
      </c>
      <c r="C2" s="98"/>
      <c r="D2" s="98"/>
      <c r="E2" s="98"/>
      <c r="F2" s="3"/>
      <c r="G2" s="3"/>
      <c r="H2" s="3"/>
      <c r="I2" s="3"/>
    </row>
    <row r="3" spans="1:11">
      <c r="B3" s="7" t="s">
        <v>3</v>
      </c>
      <c r="C3" s="8">
        <f ca="1">IF($C$4&lt;&gt;"",$C$4,WORKDAY(TODAY(),-1))</f>
        <v>45860</v>
      </c>
      <c r="D3" s="2" t="str">
        <f ca="1">TEXT(C3,"aaaa")</f>
        <v>火曜日</v>
      </c>
      <c r="E3" s="23"/>
    </row>
    <row r="4" spans="1:11" ht="19.5" thickBot="1">
      <c r="B4" s="5" t="s">
        <v>0</v>
      </c>
      <c r="C4" s="4">
        <v>45860</v>
      </c>
      <c r="D4" s="6" t="s">
        <v>2</v>
      </c>
    </row>
    <row r="6" spans="1:11">
      <c r="B6" s="3" t="s">
        <v>41</v>
      </c>
      <c r="C6" s="3"/>
      <c r="D6" s="3"/>
    </row>
    <row r="7" spans="1:11">
      <c r="A7" s="15" t="s">
        <v>4</v>
      </c>
      <c r="B7" s="15" t="s">
        <v>50</v>
      </c>
      <c r="C7" s="15" t="s">
        <v>12</v>
      </c>
      <c r="D7" s="15" t="s">
        <v>13</v>
      </c>
      <c r="E7" s="15" t="s">
        <v>14</v>
      </c>
      <c r="F7" s="17" t="s">
        <v>68</v>
      </c>
      <c r="G7" s="17" t="s">
        <v>94</v>
      </c>
      <c r="H7" s="17" t="s">
        <v>69</v>
      </c>
      <c r="I7" s="18" t="s">
        <v>95</v>
      </c>
      <c r="J7" s="3" t="s">
        <v>96</v>
      </c>
      <c r="K7" s="3" t="s">
        <v>70</v>
      </c>
    </row>
    <row r="8" spans="1:11">
      <c r="A8" s="10">
        <v>1</v>
      </c>
      <c r="B8" s="10"/>
      <c r="C8" s="10"/>
      <c r="D8" s="11"/>
      <c r="E8" s="11"/>
      <c r="F8" s="62"/>
      <c r="G8" s="19"/>
      <c r="H8" s="62"/>
      <c r="I8" s="19"/>
    </row>
    <row r="9" spans="1:11">
      <c r="A9" s="10">
        <v>2</v>
      </c>
      <c r="B9" s="10"/>
      <c r="C9" s="10"/>
      <c r="D9" s="11"/>
      <c r="E9" s="11"/>
      <c r="F9" s="53"/>
      <c r="G9" s="19"/>
      <c r="H9" s="53"/>
      <c r="I9" s="19"/>
    </row>
    <row r="10" spans="1:11">
      <c r="A10" s="10">
        <v>3</v>
      </c>
      <c r="B10" s="10"/>
      <c r="C10" s="10"/>
      <c r="D10" s="11"/>
      <c r="E10" s="11"/>
      <c r="F10" s="53"/>
      <c r="G10" s="19"/>
      <c r="H10" s="53"/>
      <c r="I10" s="19"/>
    </row>
    <row r="11" spans="1:11">
      <c r="A11" s="10">
        <v>4</v>
      </c>
      <c r="B11" s="10"/>
      <c r="C11" s="10"/>
      <c r="D11" s="11"/>
      <c r="E11" s="11"/>
      <c r="F11" s="53"/>
      <c r="G11" s="19"/>
      <c r="H11" s="53"/>
      <c r="I11" s="19"/>
    </row>
    <row r="12" spans="1:11">
      <c r="A12" s="10">
        <v>5</v>
      </c>
      <c r="B12" s="10"/>
      <c r="C12" s="10"/>
      <c r="D12" s="11"/>
      <c r="E12" s="11"/>
      <c r="F12" s="53"/>
      <c r="G12" s="19"/>
      <c r="H12" s="53"/>
      <c r="I12" s="19"/>
    </row>
    <row r="13" spans="1:11">
      <c r="A13" s="10">
        <v>6</v>
      </c>
      <c r="B13" s="10"/>
      <c r="C13" s="10"/>
      <c r="D13" s="11"/>
      <c r="E13" s="21"/>
      <c r="F13" s="53"/>
      <c r="G13" s="19"/>
      <c r="H13" s="53"/>
      <c r="I13" s="19"/>
    </row>
    <row r="14" spans="1:11">
      <c r="A14" s="10">
        <v>7</v>
      </c>
      <c r="B14" s="10"/>
      <c r="C14" s="10"/>
      <c r="D14" s="11"/>
      <c r="E14" s="21"/>
      <c r="F14" s="53"/>
      <c r="G14" s="19"/>
      <c r="H14" s="53"/>
      <c r="I14" s="19"/>
    </row>
    <row r="15" spans="1:11">
      <c r="A15" s="10">
        <v>8</v>
      </c>
      <c r="B15" s="10"/>
      <c r="C15" s="10"/>
      <c r="D15" s="11"/>
      <c r="E15" s="21"/>
      <c r="F15" s="53"/>
      <c r="G15" s="19"/>
      <c r="H15" s="53"/>
      <c r="I15" s="19"/>
    </row>
    <row r="16" spans="1:11">
      <c r="A16" s="10">
        <v>9</v>
      </c>
      <c r="B16" s="10"/>
      <c r="C16" s="10"/>
      <c r="D16" s="10"/>
      <c r="E16" s="21"/>
      <c r="F16" s="53"/>
      <c r="G16" s="19"/>
      <c r="H16" s="53"/>
      <c r="I16" s="19"/>
    </row>
    <row r="17" spans="1:9">
      <c r="A17" s="10">
        <v>10</v>
      </c>
      <c r="B17" s="10"/>
      <c r="C17" s="10"/>
      <c r="D17" s="10"/>
      <c r="E17" s="21"/>
      <c r="F17" s="53"/>
      <c r="G17" s="19"/>
      <c r="H17" s="53"/>
      <c r="I17" s="19"/>
    </row>
    <row r="18" spans="1:9">
      <c r="A18" s="10">
        <v>11</v>
      </c>
      <c r="B18" s="10"/>
      <c r="C18" s="10"/>
      <c r="D18" s="10"/>
      <c r="E18" s="21"/>
      <c r="F18" s="53"/>
      <c r="G18" s="19"/>
      <c r="H18" s="53"/>
      <c r="I18" s="19"/>
    </row>
    <row r="19" spans="1:9">
      <c r="A19" s="10">
        <v>12</v>
      </c>
      <c r="B19" s="10"/>
      <c r="C19" s="10"/>
      <c r="D19" s="10"/>
      <c r="E19" s="21"/>
      <c r="F19" s="53"/>
      <c r="G19" s="19"/>
      <c r="H19" s="53"/>
      <c r="I19" s="19"/>
    </row>
    <row r="20" spans="1:9">
      <c r="A20" s="10">
        <v>13</v>
      </c>
      <c r="B20" s="10"/>
      <c r="C20" s="10"/>
      <c r="D20" s="10"/>
      <c r="E20" s="21"/>
      <c r="F20" s="53"/>
      <c r="G20" s="19"/>
      <c r="H20" s="53"/>
      <c r="I20" s="19"/>
    </row>
    <row r="21" spans="1:9">
      <c r="A21" s="10">
        <v>14</v>
      </c>
      <c r="B21" s="10"/>
      <c r="C21" s="10"/>
      <c r="D21" s="10"/>
      <c r="E21" s="21"/>
      <c r="F21" s="53"/>
      <c r="G21" s="19"/>
      <c r="H21" s="53"/>
      <c r="I21" s="19"/>
    </row>
    <row r="22" spans="1:9">
      <c r="A22" s="10">
        <v>15</v>
      </c>
      <c r="B22" s="10"/>
      <c r="C22" s="10"/>
      <c r="D22" s="10"/>
      <c r="E22" s="21"/>
      <c r="F22" s="53"/>
      <c r="G22" s="19"/>
      <c r="H22" s="53"/>
      <c r="I22" s="19"/>
    </row>
    <row r="25" spans="1:9">
      <c r="F25" s="12"/>
      <c r="G25" s="12"/>
    </row>
  </sheetData>
  <mergeCells count="1">
    <mergeCell ref="B2:E2"/>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GetOutlookSchedule">
                <anchor moveWithCells="1" sizeWithCells="1">
                  <from>
                    <xdr:col>3</xdr:col>
                    <xdr:colOff>952500</xdr:colOff>
                    <xdr:row>1</xdr:row>
                    <xdr:rowOff>447675</xdr:rowOff>
                  </from>
                  <to>
                    <xdr:col>3</xdr:col>
                    <xdr:colOff>1752600</xdr:colOff>
                    <xdr:row>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C4EF2-FAD2-4BB0-9B2D-7EA5932D5D3E}">
  <sheetPr codeName="Sheet5"/>
  <dimension ref="A1:M52"/>
  <sheetViews>
    <sheetView showGridLines="0" zoomScale="130" zoomScaleNormal="130" workbookViewId="0">
      <selection activeCell="E9" sqref="E9"/>
    </sheetView>
  </sheetViews>
  <sheetFormatPr defaultRowHeight="18.75"/>
  <cols>
    <col min="1" max="1" width="4.5" customWidth="1"/>
    <col min="2" max="2" width="5.125" customWidth="1"/>
    <col min="3" max="3" width="12.25" customWidth="1"/>
    <col min="4" max="4" width="9.875" bestFit="1" customWidth="1"/>
    <col min="5" max="5" width="10" customWidth="1"/>
    <col min="6" max="6" width="9.125" customWidth="1"/>
    <col min="7" max="7" width="10.125" customWidth="1"/>
    <col min="8" max="8" width="12.75" customWidth="1"/>
    <col min="9" max="9" width="10.125" customWidth="1"/>
  </cols>
  <sheetData>
    <row r="1" spans="1:13" s="44" customFormat="1" ht="25.5">
      <c r="A1" s="44" t="s">
        <v>40</v>
      </c>
      <c r="I1" s="99"/>
    </row>
    <row r="2" spans="1:13" ht="18" customHeight="1" thickBot="1">
      <c r="I2" s="99"/>
    </row>
    <row r="3" spans="1:13">
      <c r="C3" s="7" t="s">
        <v>17</v>
      </c>
      <c r="D3" s="97">
        <f ca="1">IF($D$4&lt;&gt;"",$D$4,WORKDAY(TODAY(),-1))</f>
        <v>45925</v>
      </c>
      <c r="E3" s="2" t="str">
        <f ca="1">TEXT(D3,"aaaa")</f>
        <v>木曜日</v>
      </c>
    </row>
    <row r="4" spans="1:13" ht="19.5" thickBot="1">
      <c r="C4" s="5" t="s">
        <v>0</v>
      </c>
      <c r="D4" s="96"/>
      <c r="E4" s="6" t="s">
        <v>21</v>
      </c>
      <c r="H4" s="16"/>
      <c r="I4" s="16"/>
    </row>
    <row r="5" spans="1:13">
      <c r="C5" s="6"/>
      <c r="D5" s="20"/>
      <c r="H5" s="16"/>
      <c r="I5" s="16"/>
    </row>
    <row r="6" spans="1:13" ht="19.5" thickBot="1">
      <c r="B6" s="43" t="s">
        <v>16</v>
      </c>
      <c r="E6" s="2"/>
      <c r="F6" s="2" t="s">
        <v>48</v>
      </c>
    </row>
    <row r="7" spans="1:13">
      <c r="B7" s="40" t="s">
        <v>10</v>
      </c>
      <c r="C7" s="51" t="s">
        <v>8</v>
      </c>
      <c r="D7" s="51" t="s">
        <v>60</v>
      </c>
      <c r="E7" s="25" t="s">
        <v>19</v>
      </c>
      <c r="F7" s="69" t="s">
        <v>20</v>
      </c>
      <c r="G7" s="31" t="s">
        <v>15</v>
      </c>
      <c r="H7" s="32" t="s">
        <v>61</v>
      </c>
    </row>
    <row r="8" spans="1:13">
      <c r="B8" s="41">
        <v>1</v>
      </c>
      <c r="C8" s="10" t="s">
        <v>7</v>
      </c>
      <c r="D8" s="10" t="s">
        <v>24</v>
      </c>
      <c r="E8" s="72">
        <f>IF(OR(C8="", D8=""), 0, IF(F8&lt;&gt;"",TIME(INT(F8/100),MOD(F8,100),0),SUMPRODUCT((データ取得!$F$8:$F$22=C8)*(データ取得!$H$8:$H$22=D8),TIME(INT(データ取得!$E$8:$E$22/100),MOD(データ取得!$E$8:$E$22,100),0))))</f>
        <v>0</v>
      </c>
      <c r="F8" s="70"/>
      <c r="G8" s="10"/>
      <c r="H8" s="33"/>
    </row>
    <row r="9" spans="1:13">
      <c r="B9" s="41">
        <v>2</v>
      </c>
      <c r="C9" s="10" t="s">
        <v>7</v>
      </c>
      <c r="D9" s="10" t="s">
        <v>26</v>
      </c>
      <c r="E9" s="72">
        <f>IF(OR(C9="", D9=""), 0, IF(F9&lt;&gt;"",TIME(INT(F9/100),MOD(F9,100),0),SUMPRODUCT((データ取得!$F$8:$F$22=C9)*(データ取得!$H$8:$H$22=D9),TIME(INT(データ取得!$E$8:$E$22/100),MOD(データ取得!$E$8:$E$22,100),0))))</f>
        <v>0</v>
      </c>
      <c r="F9" s="70"/>
      <c r="G9" s="10"/>
      <c r="H9" s="33"/>
    </row>
    <row r="10" spans="1:13" ht="19.5" thickBot="1">
      <c r="B10" s="41">
        <v>3</v>
      </c>
      <c r="C10" s="10" t="s">
        <v>7</v>
      </c>
      <c r="D10" s="10" t="s">
        <v>30</v>
      </c>
      <c r="E10" s="72">
        <f>IF(OR(C10="", D10=""), 0, IF(F10&lt;&gt;"",TIME(INT(F10/100),MOD(F10,100),0),SUMPRODUCT((データ取得!$F$8:$F$22=C10)*(データ取得!$H$8:$H$22=D10),TIME(INT(データ取得!$E$8:$E$22/100),MOD(データ取得!$E$8:$E$22,100),0))))</f>
        <v>0</v>
      </c>
      <c r="F10" s="70"/>
      <c r="G10" s="10"/>
      <c r="H10" s="33"/>
      <c r="L10" s="94">
        <v>45860</v>
      </c>
      <c r="M10" s="95">
        <v>45860</v>
      </c>
    </row>
    <row r="11" spans="1:13">
      <c r="B11" s="41">
        <v>4</v>
      </c>
      <c r="C11" s="10" t="s">
        <v>18</v>
      </c>
      <c r="D11" s="10" t="s">
        <v>31</v>
      </c>
      <c r="E11" s="72">
        <f>IF(OR(C11="", D11=""), 0, IF(F11&lt;&gt;"",TIME(INT(F11/100),MOD(F11,100),0),SUMPRODUCT((データ取得!$F$8:$F$22=C11)*(データ取得!$H$8:$H$22=D11),TIME(INT(データ取得!$E$8:$E$22/100),MOD(データ取得!$E$8:$E$22,100),0))))</f>
        <v>2.0833333333333332E-2</v>
      </c>
      <c r="F11" s="70">
        <v>30</v>
      </c>
      <c r="G11" s="10"/>
      <c r="H11" s="33"/>
    </row>
    <row r="12" spans="1:13">
      <c r="B12" s="41">
        <v>5</v>
      </c>
      <c r="C12" s="10" t="s">
        <v>18</v>
      </c>
      <c r="D12" s="10" t="s">
        <v>33</v>
      </c>
      <c r="E12" s="72">
        <f>IF(OR(C12="", D12=""), 0, IF(F12&lt;&gt;"",TIME(INT(F12/100),MOD(F12,100),0),SUMPRODUCT((データ取得!$F$8:$F$22=C12)*(データ取得!$H$8:$H$22=D12),TIME(INT(データ取得!$E$8:$E$22/100),MOD(データ取得!$E$8:$E$22,100),0))))</f>
        <v>0</v>
      </c>
      <c r="F12" s="70"/>
      <c r="G12" s="10"/>
      <c r="H12" s="33"/>
    </row>
    <row r="13" spans="1:13">
      <c r="B13" s="41">
        <v>6</v>
      </c>
      <c r="C13" s="10" t="s">
        <v>18</v>
      </c>
      <c r="D13" s="10" t="s">
        <v>32</v>
      </c>
      <c r="E13" s="72">
        <f>IF(OR(C13="", D13=""), 0, IF(F13&lt;&gt;"",TIME(INT(F13/100),MOD(F13,100),0),SUMPRODUCT((データ取得!$F$8:$F$22=C13)*(データ取得!$H$8:$H$22=D13),TIME(INT(データ取得!$E$8:$E$22/100),MOD(データ取得!$E$8:$E$22,100),0))))</f>
        <v>0</v>
      </c>
      <c r="F13" s="70"/>
      <c r="G13" s="10"/>
      <c r="H13" s="33"/>
    </row>
    <row r="14" spans="1:13">
      <c r="B14" s="41">
        <v>7</v>
      </c>
      <c r="C14" s="10" t="s">
        <v>18</v>
      </c>
      <c r="D14" s="10" t="s">
        <v>54</v>
      </c>
      <c r="E14" s="72">
        <f>IF(OR(C14="", D14=""), 0, IF(F14&lt;&gt;"",TIME(INT(F14/100),MOD(F14,100),0),SUMPRODUCT((データ取得!$F$8:$F$22=C14)*(データ取得!$H$8:$H$22=D14),TIME(INT(データ取得!$E$8:$E$22/100),MOD(データ取得!$E$8:$E$22,100),0))))</f>
        <v>0</v>
      </c>
      <c r="F14" s="70"/>
      <c r="G14" s="10"/>
      <c r="H14" s="33"/>
    </row>
    <row r="15" spans="1:13">
      <c r="B15" s="41">
        <v>8</v>
      </c>
      <c r="C15" s="10" t="s">
        <v>57</v>
      </c>
      <c r="D15" s="10" t="s">
        <v>24</v>
      </c>
      <c r="E15" s="72">
        <f>IF(OR(C15="", D15=""), 0, IF(F15&lt;&gt;"",TIME(INT(F15/100),MOD(F15,100),0),SUMPRODUCT((データ取得!$F$8:$F$22=C15)*(データ取得!$H$8:$H$22=D15),TIME(INT(データ取得!$E$8:$E$22/100),MOD(データ取得!$E$8:$E$22,100),0))))</f>
        <v>0</v>
      </c>
      <c r="F15" s="70"/>
      <c r="G15" s="10"/>
      <c r="H15" s="33"/>
    </row>
    <row r="16" spans="1:13">
      <c r="B16" s="41">
        <v>9</v>
      </c>
      <c r="C16" s="10" t="s">
        <v>57</v>
      </c>
      <c r="D16" s="10" t="s">
        <v>26</v>
      </c>
      <c r="E16" s="72">
        <f>IF(OR(C16="", D16=""), 0, IF(F16&lt;&gt;"",TIME(INT(F16/100),MOD(F16,100),0),SUMPRODUCT((データ取得!$F$8:$F$22=C16)*(データ取得!$H$8:$H$22=D16),TIME(INT(データ取得!$E$8:$E$22/100),MOD(データ取得!$E$8:$E$22,100),0))))</f>
        <v>0</v>
      </c>
      <c r="F16" s="70"/>
      <c r="G16" s="10"/>
      <c r="H16" s="33"/>
    </row>
    <row r="17" spans="2:9" ht="19.5" thickBot="1">
      <c r="B17" s="42">
        <v>10</v>
      </c>
      <c r="C17" s="10" t="s">
        <v>57</v>
      </c>
      <c r="D17" s="10" t="s">
        <v>30</v>
      </c>
      <c r="E17" s="73">
        <f>IF(OR(C17="", D17=""), 0, IF(F17&lt;&gt;"",TIME(INT(F17/100),MOD(F17,100),0),SUMPRODUCT((データ取得!$F$8:$F$22=C17)*(データ取得!$H$8:$H$22=D17),TIME(INT(データ取得!$E$8:$E$22/100),MOD(データ取得!$E$8:$E$22,100),0))))</f>
        <v>0</v>
      </c>
      <c r="F17" s="71"/>
      <c r="G17" s="34"/>
      <c r="H17" s="35"/>
    </row>
    <row r="18" spans="2:9">
      <c r="D18" s="16" t="s">
        <v>58</v>
      </c>
      <c r="E18" s="39">
        <f>SUM(E8:E17)</f>
        <v>2.0833333333333332E-2</v>
      </c>
      <c r="G18" s="16" t="s">
        <v>42</v>
      </c>
      <c r="H18" s="68">
        <f>HOUR(E18)*60 + MINUTE(E18)</f>
        <v>30</v>
      </c>
    </row>
    <row r="19" spans="2:9">
      <c r="D19" s="45" t="s">
        <v>59</v>
      </c>
      <c r="E19" s="1"/>
    </row>
    <row r="21" spans="2:9" ht="19.5" thickBot="1"/>
    <row r="22" spans="2:9">
      <c r="E22" s="55" t="s">
        <v>49</v>
      </c>
    </row>
    <row r="23" spans="2:9" ht="19.5" thickBot="1">
      <c r="E23" s="54">
        <f>IF(F22&lt;&gt;"",TIME(INT(F22/100),MOD(F22,100),0),SUMPRODUCT(
   (データ取得!$F$8:$F$22=C22)*(データ取得!$H$8:$H$22=D22),
   TIME(INT(データ取得!$E$8:$E$22/100), MOD(データ取得!$E$8:$E$22,100), 0)
))</f>
        <v>0</v>
      </c>
    </row>
    <row r="25" spans="2:9">
      <c r="I25" s="2"/>
    </row>
    <row r="26" spans="2:9">
      <c r="I26" s="2"/>
    </row>
    <row r="51" spans="5:5">
      <c r="E51" t="s">
        <v>43</v>
      </c>
    </row>
    <row r="52" spans="5:5">
      <c r="E52" s="22">
        <v>0</v>
      </c>
    </row>
  </sheetData>
  <mergeCells count="1">
    <mergeCell ref="I1:I2"/>
  </mergeCells>
  <phoneticPr fontId="1"/>
  <conditionalFormatting sqref="M10">
    <cfRule type="expression" dxfId="1" priority="1">
      <formula>WEEKDAY($B10:$B$42,2) &gt;= 6</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ransferDataToMonthlySheet">
                <anchor moveWithCells="1" sizeWithCells="1">
                  <from>
                    <xdr:col>6</xdr:col>
                    <xdr:colOff>438150</xdr:colOff>
                    <xdr:row>0</xdr:row>
                    <xdr:rowOff>314325</xdr:rowOff>
                  </from>
                  <to>
                    <xdr:col>7</xdr:col>
                    <xdr:colOff>771525</xdr:colOff>
                    <xdr:row>2</xdr:row>
                    <xdr:rowOff>133350</xdr:rowOff>
                  </to>
                </anchor>
              </controlPr>
            </control>
          </mc:Choice>
        </mc:AlternateContent>
        <mc:AlternateContent xmlns:mc="http://schemas.openxmlformats.org/markup-compatibility/2006">
          <mc:Choice Requires="x14">
            <control shapeId="3074" r:id="rId5" name="Button 2">
              <controlPr defaultSize="0" print="0" autoFill="0" autoPict="0" macro="[0]!ClearInputData">
                <anchor moveWithCells="1" sizeWithCells="1">
                  <from>
                    <xdr:col>4</xdr:col>
                    <xdr:colOff>561975</xdr:colOff>
                    <xdr:row>0</xdr:row>
                    <xdr:rowOff>314325</xdr:rowOff>
                  </from>
                  <to>
                    <xdr:col>6</xdr:col>
                    <xdr:colOff>0</xdr:colOff>
                    <xdr:row>2</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1A2518-7366-4FBD-88EB-1DB5A33F615D}">
  <sheetPr codeName="Sheet4"/>
  <dimension ref="A1:Q43"/>
  <sheetViews>
    <sheetView showGridLines="0" zoomScale="85" zoomScaleNormal="85" workbookViewId="0">
      <selection activeCell="F36" sqref="F36"/>
    </sheetView>
  </sheetViews>
  <sheetFormatPr defaultRowHeight="18.75"/>
  <cols>
    <col min="1" max="1" width="4.875" customWidth="1"/>
    <col min="2" max="2" width="9.75" bestFit="1" customWidth="1"/>
    <col min="3" max="3" width="9.625" customWidth="1"/>
    <col min="4" max="4" width="7.75" customWidth="1"/>
    <col min="5" max="15" width="12.625" customWidth="1"/>
    <col min="16" max="16" width="8" customWidth="1"/>
  </cols>
  <sheetData>
    <row r="1" spans="1:16" ht="39.75" customHeight="1">
      <c r="A1" s="79" t="s">
        <v>64</v>
      </c>
      <c r="B1" s="78"/>
      <c r="C1" s="76"/>
      <c r="D1" s="80" t="s">
        <v>66</v>
      </c>
      <c r="E1" s="81"/>
    </row>
    <row r="2" spans="1:16" ht="18.75" customHeight="1">
      <c r="A2" s="43"/>
      <c r="B2" s="14" t="s">
        <v>8</v>
      </c>
      <c r="C2" s="14" t="s">
        <v>65</v>
      </c>
      <c r="D2" s="14" t="s">
        <v>35</v>
      </c>
      <c r="E2" s="46" t="s">
        <v>36</v>
      </c>
      <c r="F2" s="46" t="s">
        <v>37</v>
      </c>
      <c r="G2" s="46" t="s">
        <v>38</v>
      </c>
      <c r="H2" s="82" t="s">
        <v>67</v>
      </c>
      <c r="J2" s="46" t="s">
        <v>63</v>
      </c>
    </row>
    <row r="3" spans="1:16">
      <c r="B3" s="1" t="s">
        <v>7</v>
      </c>
      <c r="C3" s="1"/>
      <c r="D3" s="65">
        <f>SUMIF($E$10:$N$10, B3, $E$43:$N$43)</f>
        <v>0</v>
      </c>
      <c r="E3" s="74">
        <f>HOUR(D3)*60 + MINUTE(D3)</f>
        <v>0</v>
      </c>
      <c r="F3" s="75">
        <v>7406</v>
      </c>
      <c r="G3" s="75">
        <f>F3-E3</f>
        <v>7406</v>
      </c>
      <c r="H3" s="65">
        <f>G3/1440</f>
        <v>5.1430555555555557</v>
      </c>
      <c r="I3" s="13"/>
      <c r="J3" s="100" t="s">
        <v>90</v>
      </c>
      <c r="K3" s="101"/>
      <c r="L3" s="101"/>
      <c r="M3" s="101"/>
      <c r="N3" s="101"/>
      <c r="O3" s="102"/>
    </row>
    <row r="4" spans="1:16">
      <c r="B4" s="1" t="s">
        <v>22</v>
      </c>
      <c r="C4" s="1"/>
      <c r="D4" s="65">
        <f>SUMIF($E$10:$N$10, B4, $E$43:$N$43)</f>
        <v>0</v>
      </c>
      <c r="E4" s="74">
        <f>DAY(D4)*1440+HOUR(D4)*60 + MINUTE(D4)</f>
        <v>0</v>
      </c>
      <c r="F4" s="75" t="s">
        <v>29</v>
      </c>
      <c r="G4" s="75" t="s">
        <v>29</v>
      </c>
      <c r="H4" s="65">
        <f>G3/1440</f>
        <v>5.1430555555555557</v>
      </c>
      <c r="J4" s="103"/>
      <c r="K4" s="104"/>
      <c r="L4" s="104"/>
      <c r="M4" s="104"/>
      <c r="N4" s="104"/>
      <c r="O4" s="105"/>
    </row>
    <row r="5" spans="1:16">
      <c r="B5" s="1"/>
      <c r="C5" s="1"/>
      <c r="D5" s="65">
        <v>0</v>
      </c>
      <c r="E5" s="74">
        <f>HOUR(D5)*60 + MINUTE(D5)</f>
        <v>0</v>
      </c>
      <c r="F5" s="75"/>
      <c r="G5" s="75"/>
      <c r="H5" s="1"/>
      <c r="J5" s="103"/>
      <c r="K5" s="104"/>
      <c r="L5" s="104"/>
      <c r="M5" s="104"/>
      <c r="N5" s="104"/>
      <c r="O5" s="105"/>
    </row>
    <row r="6" spans="1:16">
      <c r="B6" s="1"/>
      <c r="C6" s="1"/>
      <c r="D6" s="65"/>
      <c r="E6" s="74">
        <f>HOUR(D6)*60 + MINUTE(D6)</f>
        <v>0</v>
      </c>
      <c r="F6" s="75"/>
      <c r="G6" s="75"/>
      <c r="H6" s="1"/>
      <c r="J6" s="106"/>
      <c r="K6" s="107"/>
      <c r="L6" s="107"/>
      <c r="M6" s="107"/>
      <c r="N6" s="107"/>
      <c r="O6" s="108"/>
    </row>
    <row r="7" spans="1:16">
      <c r="B7" s="1"/>
      <c r="C7" s="1"/>
      <c r="D7" s="65"/>
      <c r="E7" s="74">
        <f>HOUR(D7)*60 + MINUTE(D7)</f>
        <v>0</v>
      </c>
      <c r="F7" s="75"/>
      <c r="G7" s="75"/>
      <c r="H7" s="1"/>
    </row>
    <row r="8" spans="1:16" ht="19.5">
      <c r="D8" s="66">
        <f>SUM(D3:D7)</f>
        <v>0</v>
      </c>
      <c r="E8" s="67"/>
      <c r="F8" s="47"/>
      <c r="G8" s="47"/>
      <c r="H8" s="47"/>
      <c r="I8" s="47"/>
      <c r="J8" s="47"/>
      <c r="K8" s="47"/>
      <c r="L8" s="47"/>
      <c r="M8" s="47"/>
      <c r="N8" s="47"/>
    </row>
    <row r="9" spans="1:16" ht="20.25" thickBot="1">
      <c r="A9">
        <v>1</v>
      </c>
      <c r="B9">
        <v>2</v>
      </c>
      <c r="C9" s="48">
        <v>3</v>
      </c>
      <c r="D9" s="49">
        <v>4</v>
      </c>
      <c r="E9" s="47">
        <v>5</v>
      </c>
      <c r="F9" s="47">
        <v>6</v>
      </c>
      <c r="G9" s="47">
        <v>7</v>
      </c>
      <c r="H9" s="47">
        <v>8</v>
      </c>
      <c r="I9" s="47">
        <v>9</v>
      </c>
      <c r="J9" s="47">
        <v>10</v>
      </c>
      <c r="K9" s="47">
        <v>11</v>
      </c>
      <c r="L9" s="47">
        <v>12</v>
      </c>
      <c r="M9" s="47"/>
      <c r="N9" s="47"/>
    </row>
    <row r="10" spans="1:16">
      <c r="A10" s="43"/>
      <c r="B10" s="24" t="s">
        <v>28</v>
      </c>
      <c r="C10" s="29"/>
      <c r="D10" s="36" t="s">
        <v>8</v>
      </c>
      <c r="E10" s="52" t="s">
        <v>7</v>
      </c>
      <c r="F10" s="51" t="s">
        <v>7</v>
      </c>
      <c r="G10" s="51" t="s">
        <v>7</v>
      </c>
      <c r="H10" s="51" t="s">
        <v>18</v>
      </c>
      <c r="I10" s="51" t="s">
        <v>22</v>
      </c>
      <c r="J10" s="51" t="s">
        <v>18</v>
      </c>
      <c r="K10" s="51" t="s">
        <v>18</v>
      </c>
      <c r="L10" s="51"/>
      <c r="M10" s="57" t="s">
        <v>56</v>
      </c>
      <c r="N10" s="59" t="s">
        <v>52</v>
      </c>
    </row>
    <row r="11" spans="1:16" ht="19.5" thickBot="1">
      <c r="A11" s="43"/>
      <c r="B11" s="26" t="s">
        <v>9</v>
      </c>
      <c r="C11" s="28" t="s">
        <v>27</v>
      </c>
      <c r="D11" s="37" t="s">
        <v>60</v>
      </c>
      <c r="E11" s="30" t="s">
        <v>23</v>
      </c>
      <c r="F11" s="27" t="s">
        <v>25</v>
      </c>
      <c r="G11" s="56" t="s">
        <v>53</v>
      </c>
      <c r="H11" s="27" t="s">
        <v>31</v>
      </c>
      <c r="I11" s="27" t="s">
        <v>33</v>
      </c>
      <c r="J11" s="27" t="s">
        <v>32</v>
      </c>
      <c r="K11" s="27" t="s">
        <v>34</v>
      </c>
      <c r="L11" s="56" t="s">
        <v>51</v>
      </c>
      <c r="M11" s="56" t="s">
        <v>55</v>
      </c>
      <c r="N11" s="58" t="s">
        <v>53</v>
      </c>
    </row>
    <row r="12" spans="1:16">
      <c r="B12" s="121">
        <v>45901</v>
      </c>
      <c r="C12" s="110"/>
      <c r="D12" s="111"/>
      <c r="E12" s="112"/>
      <c r="F12" s="113"/>
      <c r="G12" s="113"/>
      <c r="H12" s="113"/>
      <c r="I12" s="113"/>
      <c r="J12" s="113"/>
      <c r="K12" s="113"/>
      <c r="L12" s="113"/>
      <c r="M12" s="113"/>
      <c r="N12" s="110"/>
      <c r="O12" s="76"/>
      <c r="P12" s="77">
        <f>IF(N(C12)&lt;&gt;0, C12 - TIME(7, 45, 0), C12)</f>
        <v>0</v>
      </c>
    </row>
    <row r="13" spans="1:16">
      <c r="B13" s="122">
        <v>45902</v>
      </c>
      <c r="C13" s="114"/>
      <c r="D13" s="115"/>
      <c r="E13" s="116"/>
      <c r="F13" s="117"/>
      <c r="G13" s="118"/>
      <c r="H13" s="118"/>
      <c r="I13" s="118"/>
      <c r="J13" s="118"/>
      <c r="K13" s="118"/>
      <c r="L13" s="118"/>
      <c r="M13" s="117"/>
      <c r="N13" s="114"/>
      <c r="O13" s="76"/>
      <c r="P13" s="77"/>
    </row>
    <row r="14" spans="1:16">
      <c r="B14" s="122">
        <v>45903</v>
      </c>
      <c r="C14" s="114"/>
      <c r="D14" s="115"/>
      <c r="E14" s="116"/>
      <c r="F14" s="118"/>
      <c r="G14" s="118"/>
      <c r="H14" s="118"/>
      <c r="I14" s="118"/>
      <c r="J14" s="118"/>
      <c r="K14" s="118"/>
      <c r="L14" s="118"/>
      <c r="M14" s="118"/>
      <c r="N14" s="114"/>
      <c r="O14" s="76"/>
      <c r="P14" s="77"/>
    </row>
    <row r="15" spans="1:16">
      <c r="B15" s="122">
        <v>45904</v>
      </c>
      <c r="C15" s="114"/>
      <c r="D15" s="115"/>
      <c r="E15" s="116"/>
      <c r="F15" s="118"/>
      <c r="G15" s="118"/>
      <c r="H15" s="118"/>
      <c r="I15" s="118"/>
      <c r="J15" s="118"/>
      <c r="K15" s="118"/>
      <c r="L15" s="118"/>
      <c r="M15" s="118"/>
      <c r="N15" s="114"/>
      <c r="O15" s="76"/>
      <c r="P15" s="77"/>
    </row>
    <row r="16" spans="1:16">
      <c r="B16" s="122">
        <v>45905</v>
      </c>
      <c r="C16" s="114"/>
      <c r="D16" s="115"/>
      <c r="E16" s="116"/>
      <c r="F16" s="118"/>
      <c r="G16" s="118"/>
      <c r="H16" s="118"/>
      <c r="I16" s="118"/>
      <c r="J16" s="118"/>
      <c r="K16" s="118"/>
      <c r="L16" s="118"/>
      <c r="M16" s="118"/>
      <c r="N16" s="114"/>
      <c r="O16" s="76"/>
      <c r="P16" s="77"/>
    </row>
    <row r="17" spans="2:16">
      <c r="B17" s="122">
        <v>45906</v>
      </c>
      <c r="C17" s="114"/>
      <c r="D17" s="115"/>
      <c r="E17" s="116"/>
      <c r="F17" s="118"/>
      <c r="G17" s="118"/>
      <c r="H17" s="118"/>
      <c r="I17" s="118"/>
      <c r="J17" s="118"/>
      <c r="K17" s="118"/>
      <c r="L17" s="118"/>
      <c r="M17" s="118"/>
      <c r="N17" s="114"/>
      <c r="O17" s="76"/>
      <c r="P17" s="77"/>
    </row>
    <row r="18" spans="2:16">
      <c r="B18" s="122">
        <v>45907</v>
      </c>
      <c r="C18" s="114"/>
      <c r="D18" s="115"/>
      <c r="E18" s="116"/>
      <c r="F18" s="118"/>
      <c r="G18" s="118"/>
      <c r="H18" s="118"/>
      <c r="I18" s="118"/>
      <c r="J18" s="118"/>
      <c r="K18" s="118"/>
      <c r="L18" s="118"/>
      <c r="M18" s="118"/>
      <c r="N18" s="114"/>
      <c r="O18" s="76"/>
      <c r="P18" s="77"/>
    </row>
    <row r="19" spans="2:16">
      <c r="B19" s="122">
        <v>45908</v>
      </c>
      <c r="C19" s="114"/>
      <c r="D19" s="115"/>
      <c r="E19" s="116"/>
      <c r="F19" s="118"/>
      <c r="G19" s="118"/>
      <c r="H19" s="118"/>
      <c r="I19" s="118"/>
      <c r="J19" s="118"/>
      <c r="K19" s="118"/>
      <c r="L19" s="118"/>
      <c r="M19" s="118"/>
      <c r="N19" s="114"/>
      <c r="O19" s="76"/>
      <c r="P19" s="77"/>
    </row>
    <row r="20" spans="2:16">
      <c r="B20" s="122">
        <v>45909</v>
      </c>
      <c r="C20" s="114"/>
      <c r="D20" s="115"/>
      <c r="E20" s="116"/>
      <c r="F20" s="118"/>
      <c r="G20" s="118"/>
      <c r="H20" s="118"/>
      <c r="I20" s="118"/>
      <c r="J20" s="118"/>
      <c r="K20" s="118"/>
      <c r="L20" s="118"/>
      <c r="M20" s="118"/>
      <c r="N20" s="114"/>
      <c r="O20" s="76"/>
      <c r="P20" s="77"/>
    </row>
    <row r="21" spans="2:16">
      <c r="B21" s="122">
        <v>45910</v>
      </c>
      <c r="C21" s="114"/>
      <c r="D21" s="115"/>
      <c r="E21" s="116"/>
      <c r="F21" s="118"/>
      <c r="G21" s="118"/>
      <c r="H21" s="118"/>
      <c r="I21" s="118"/>
      <c r="J21" s="118"/>
      <c r="K21" s="118"/>
      <c r="L21" s="118"/>
      <c r="M21" s="118"/>
      <c r="N21" s="114"/>
      <c r="O21" s="76"/>
      <c r="P21" s="77"/>
    </row>
    <row r="22" spans="2:16">
      <c r="B22" s="122">
        <v>45911</v>
      </c>
      <c r="C22" s="114"/>
      <c r="D22" s="115"/>
      <c r="E22" s="116"/>
      <c r="F22" s="118"/>
      <c r="G22" s="118"/>
      <c r="H22" s="118"/>
      <c r="I22" s="118"/>
      <c r="J22" s="118"/>
      <c r="K22" s="118"/>
      <c r="L22" s="118"/>
      <c r="M22" s="118"/>
      <c r="N22" s="114"/>
      <c r="O22" s="76"/>
      <c r="P22" s="77"/>
    </row>
    <row r="23" spans="2:16">
      <c r="B23" s="122">
        <v>45912</v>
      </c>
      <c r="C23" s="114"/>
      <c r="D23" s="115"/>
      <c r="E23" s="116"/>
      <c r="F23" s="118"/>
      <c r="G23" s="118"/>
      <c r="H23" s="118"/>
      <c r="I23" s="118"/>
      <c r="J23" s="118"/>
      <c r="K23" s="118"/>
      <c r="L23" s="118"/>
      <c r="M23" s="118"/>
      <c r="N23" s="114"/>
      <c r="O23" s="76"/>
      <c r="P23" s="77"/>
    </row>
    <row r="24" spans="2:16">
      <c r="B24" s="122">
        <v>45913</v>
      </c>
      <c r="C24" s="114"/>
      <c r="D24" s="115"/>
      <c r="E24" s="116"/>
      <c r="F24" s="118"/>
      <c r="G24" s="118"/>
      <c r="H24" s="118"/>
      <c r="I24" s="118"/>
      <c r="J24" s="118"/>
      <c r="K24" s="118"/>
      <c r="L24" s="118"/>
      <c r="M24" s="118"/>
      <c r="N24" s="114"/>
      <c r="O24" s="76"/>
      <c r="P24" s="77"/>
    </row>
    <row r="25" spans="2:16">
      <c r="B25" s="122">
        <v>45914</v>
      </c>
      <c r="C25" s="114"/>
      <c r="D25" s="115"/>
      <c r="E25" s="116"/>
      <c r="F25" s="118"/>
      <c r="G25" s="118"/>
      <c r="H25" s="118"/>
      <c r="I25" s="118"/>
      <c r="J25" s="118"/>
      <c r="K25" s="118"/>
      <c r="L25" s="118"/>
      <c r="M25" s="118"/>
      <c r="N25" s="114"/>
      <c r="O25" s="76"/>
      <c r="P25" s="77"/>
    </row>
    <row r="26" spans="2:16">
      <c r="B26" s="122">
        <v>45915</v>
      </c>
      <c r="C26" s="114"/>
      <c r="D26" s="115"/>
      <c r="E26" s="116"/>
      <c r="F26" s="118"/>
      <c r="G26" s="118"/>
      <c r="H26" s="118"/>
      <c r="I26" s="118"/>
      <c r="J26" s="118"/>
      <c r="K26" s="118"/>
      <c r="L26" s="118"/>
      <c r="M26" s="118"/>
      <c r="N26" s="114"/>
      <c r="O26" s="76"/>
      <c r="P26" s="77"/>
    </row>
    <row r="27" spans="2:16">
      <c r="B27" s="122">
        <v>45916</v>
      </c>
      <c r="C27" s="114"/>
      <c r="D27" s="115"/>
      <c r="E27" s="116"/>
      <c r="F27" s="118"/>
      <c r="G27" s="118"/>
      <c r="H27" s="118"/>
      <c r="I27" s="118"/>
      <c r="J27" s="118"/>
      <c r="K27" s="118"/>
      <c r="L27" s="118"/>
      <c r="M27" s="118"/>
      <c r="N27" s="114"/>
      <c r="O27" s="76"/>
      <c r="P27" s="77"/>
    </row>
    <row r="28" spans="2:16">
      <c r="B28" s="122">
        <v>45917</v>
      </c>
      <c r="C28" s="114"/>
      <c r="D28" s="115"/>
      <c r="E28" s="116"/>
      <c r="F28" s="118"/>
      <c r="G28" s="118"/>
      <c r="H28" s="118"/>
      <c r="I28" s="118"/>
      <c r="J28" s="118"/>
      <c r="K28" s="118"/>
      <c r="L28" s="118"/>
      <c r="M28" s="118"/>
      <c r="N28" s="114"/>
      <c r="O28" s="76"/>
      <c r="P28" s="77"/>
    </row>
    <row r="29" spans="2:16">
      <c r="B29" s="122">
        <v>45918</v>
      </c>
      <c r="C29" s="114"/>
      <c r="D29" s="115"/>
      <c r="E29" s="116"/>
      <c r="F29" s="118"/>
      <c r="G29" s="118"/>
      <c r="H29" s="118"/>
      <c r="I29" s="118"/>
      <c r="J29" s="118"/>
      <c r="K29" s="118"/>
      <c r="L29" s="118"/>
      <c r="M29" s="118"/>
      <c r="N29" s="114"/>
      <c r="O29" s="76"/>
      <c r="P29" s="77"/>
    </row>
    <row r="30" spans="2:16">
      <c r="B30" s="122">
        <v>45919</v>
      </c>
      <c r="C30" s="114"/>
      <c r="D30" s="115"/>
      <c r="E30" s="116"/>
      <c r="F30" s="118"/>
      <c r="G30" s="118"/>
      <c r="H30" s="118"/>
      <c r="I30" s="118"/>
      <c r="J30" s="118"/>
      <c r="K30" s="118"/>
      <c r="L30" s="118"/>
      <c r="M30" s="118"/>
      <c r="N30" s="114"/>
      <c r="O30" s="76"/>
      <c r="P30" s="77"/>
    </row>
    <row r="31" spans="2:16">
      <c r="B31" s="122">
        <v>45920</v>
      </c>
      <c r="C31" s="114"/>
      <c r="D31" s="115"/>
      <c r="E31" s="116"/>
      <c r="F31" s="118"/>
      <c r="G31" s="118"/>
      <c r="H31" s="118"/>
      <c r="I31" s="118"/>
      <c r="J31" s="118"/>
      <c r="K31" s="118"/>
      <c r="L31" s="118"/>
      <c r="M31" s="118"/>
      <c r="N31" s="114"/>
      <c r="O31" s="76"/>
      <c r="P31" s="77"/>
    </row>
    <row r="32" spans="2:16">
      <c r="B32" s="122">
        <v>45921</v>
      </c>
      <c r="C32" s="114"/>
      <c r="D32" s="115"/>
      <c r="E32" s="116"/>
      <c r="F32" s="118"/>
      <c r="G32" s="118"/>
      <c r="H32" s="118"/>
      <c r="I32" s="118"/>
      <c r="J32" s="118"/>
      <c r="K32" s="118"/>
      <c r="L32" s="118"/>
      <c r="M32" s="117"/>
      <c r="N32" s="114"/>
      <c r="O32" s="76"/>
      <c r="P32" s="77"/>
    </row>
    <row r="33" spans="1:17">
      <c r="A33" s="63"/>
      <c r="B33" s="122">
        <v>45922</v>
      </c>
      <c r="C33" s="114"/>
      <c r="D33" s="115"/>
      <c r="E33" s="116"/>
      <c r="F33" s="117"/>
      <c r="G33" s="118"/>
      <c r="H33" s="118"/>
      <c r="I33" s="118"/>
      <c r="J33" s="118"/>
      <c r="K33" s="118"/>
      <c r="L33" s="118"/>
      <c r="M33" s="117"/>
      <c r="N33" s="114"/>
      <c r="O33" s="76"/>
      <c r="P33" s="77"/>
    </row>
    <row r="34" spans="1:17">
      <c r="A34" s="64"/>
      <c r="B34" s="122">
        <v>45923</v>
      </c>
      <c r="C34" s="114"/>
      <c r="D34" s="115"/>
      <c r="E34" s="116"/>
      <c r="F34" s="118"/>
      <c r="G34" s="118"/>
      <c r="H34" s="118"/>
      <c r="I34" s="117"/>
      <c r="J34" s="118"/>
      <c r="K34" s="118"/>
      <c r="L34" s="118"/>
      <c r="M34" s="117"/>
      <c r="N34" s="114"/>
      <c r="O34" s="76"/>
      <c r="P34" s="77"/>
    </row>
    <row r="35" spans="1:17">
      <c r="B35" s="122">
        <v>45924</v>
      </c>
      <c r="C35" s="114"/>
      <c r="D35" s="115"/>
      <c r="E35" s="119"/>
      <c r="F35" s="119"/>
      <c r="G35" s="119"/>
      <c r="H35" s="119"/>
      <c r="I35" s="119"/>
      <c r="J35" s="119"/>
      <c r="K35" s="118"/>
      <c r="L35" s="119"/>
      <c r="M35" s="118"/>
      <c r="N35" s="114"/>
      <c r="O35" s="76"/>
      <c r="P35" s="77"/>
    </row>
    <row r="36" spans="1:17">
      <c r="B36" s="122">
        <v>45925</v>
      </c>
      <c r="C36" s="114"/>
      <c r="D36" s="115"/>
      <c r="E36" s="120"/>
      <c r="F36" s="118"/>
      <c r="G36" s="118"/>
      <c r="H36" s="118"/>
      <c r="I36" s="118"/>
      <c r="J36" s="118"/>
      <c r="K36" s="118"/>
      <c r="L36" s="118"/>
      <c r="M36" s="118"/>
      <c r="N36" s="114"/>
      <c r="O36" s="76"/>
      <c r="P36" s="77"/>
    </row>
    <row r="37" spans="1:17">
      <c r="B37" s="122">
        <v>45926</v>
      </c>
      <c r="C37" s="114"/>
      <c r="D37" s="115"/>
      <c r="E37" s="116"/>
      <c r="F37" s="118"/>
      <c r="G37" s="118"/>
      <c r="H37" s="118"/>
      <c r="I37" s="118"/>
      <c r="J37" s="118"/>
      <c r="K37" s="118"/>
      <c r="L37" s="118"/>
      <c r="M37" s="118"/>
      <c r="N37" s="114"/>
      <c r="O37" s="76"/>
      <c r="P37" s="77"/>
    </row>
    <row r="38" spans="1:17">
      <c r="B38" s="122">
        <v>45927</v>
      </c>
      <c r="C38" s="114"/>
      <c r="D38" s="115"/>
      <c r="E38" s="116"/>
      <c r="F38" s="118"/>
      <c r="G38" s="118"/>
      <c r="H38" s="118"/>
      <c r="I38" s="118"/>
      <c r="J38" s="118"/>
      <c r="K38" s="118"/>
      <c r="L38" s="118"/>
      <c r="M38" s="118"/>
      <c r="N38" s="114"/>
      <c r="O38" s="76"/>
      <c r="P38" s="77"/>
    </row>
    <row r="39" spans="1:17">
      <c r="A39" s="38"/>
      <c r="B39" s="122">
        <v>45928</v>
      </c>
      <c r="C39" s="114"/>
      <c r="D39" s="115"/>
      <c r="E39" s="116"/>
      <c r="F39" s="118"/>
      <c r="G39" s="118"/>
      <c r="H39" s="118"/>
      <c r="I39" s="117"/>
      <c r="J39" s="118"/>
      <c r="K39" s="118"/>
      <c r="L39" s="118"/>
      <c r="M39" s="117"/>
      <c r="N39" s="114"/>
      <c r="O39" s="76"/>
      <c r="P39" s="77"/>
    </row>
    <row r="40" spans="1:17">
      <c r="B40" s="122">
        <v>45929</v>
      </c>
      <c r="C40" s="114"/>
      <c r="D40" s="115"/>
      <c r="E40" s="116"/>
      <c r="F40" s="117"/>
      <c r="G40" s="118"/>
      <c r="H40" s="118"/>
      <c r="I40" s="117"/>
      <c r="J40" s="118"/>
      <c r="K40" s="118"/>
      <c r="L40" s="118"/>
      <c r="M40" s="117"/>
      <c r="N40" s="114"/>
      <c r="O40" s="76"/>
      <c r="P40" s="77"/>
    </row>
    <row r="41" spans="1:17">
      <c r="B41" s="122">
        <v>45930</v>
      </c>
      <c r="C41" s="114"/>
      <c r="D41" s="115"/>
      <c r="E41" s="116"/>
      <c r="F41" s="118"/>
      <c r="G41" s="118"/>
      <c r="H41" s="118"/>
      <c r="I41" s="118"/>
      <c r="J41" s="118"/>
      <c r="K41" s="118"/>
      <c r="L41" s="118"/>
      <c r="M41" s="118"/>
      <c r="N41" s="114"/>
      <c r="O41" s="76"/>
      <c r="P41" s="77"/>
    </row>
    <row r="42" spans="1:17" ht="19.5" thickBot="1">
      <c r="B42" s="93">
        <v>45869</v>
      </c>
      <c r="C42" s="88"/>
      <c r="D42" s="89"/>
      <c r="E42" s="90"/>
      <c r="F42" s="91"/>
      <c r="G42" s="91"/>
      <c r="H42" s="91"/>
      <c r="I42" s="91"/>
      <c r="J42" s="91"/>
      <c r="K42" s="91"/>
      <c r="L42" s="91"/>
      <c r="M42" s="91"/>
      <c r="N42" s="92"/>
      <c r="O42" s="76"/>
      <c r="P42" s="77"/>
    </row>
    <row r="43" spans="1:17" ht="19.5" thickBot="1">
      <c r="B43" s="86" t="s">
        <v>27</v>
      </c>
      <c r="C43" s="87">
        <f>SUM(C35:C42)</f>
        <v>0</v>
      </c>
      <c r="D43" s="83" t="s">
        <v>27</v>
      </c>
      <c r="E43" s="84">
        <f>SUM(E12:E42)</f>
        <v>0</v>
      </c>
      <c r="F43" s="85">
        <f>SUM(F12:F42)</f>
        <v>0</v>
      </c>
      <c r="G43" s="85">
        <f t="shared" ref="G43:N43" si="0">SUM(G12:G42)</f>
        <v>0</v>
      </c>
      <c r="H43" s="85">
        <f t="shared" si="0"/>
        <v>0</v>
      </c>
      <c r="I43" s="85">
        <f t="shared" si="0"/>
        <v>0</v>
      </c>
      <c r="J43" s="85">
        <f t="shared" si="0"/>
        <v>0</v>
      </c>
      <c r="K43" s="85">
        <f t="shared" si="0"/>
        <v>0</v>
      </c>
      <c r="L43" s="85">
        <f t="shared" si="0"/>
        <v>0</v>
      </c>
      <c r="M43" s="85">
        <f t="shared" si="0"/>
        <v>0</v>
      </c>
      <c r="N43" s="85">
        <f t="shared" si="0"/>
        <v>0</v>
      </c>
      <c r="O43" s="76"/>
      <c r="P43" s="60">
        <f>SUM(P12:P42)</f>
        <v>0</v>
      </c>
      <c r="Q43" s="61">
        <f>SUM(E43:N43)</f>
        <v>0</v>
      </c>
    </row>
  </sheetData>
  <mergeCells count="1">
    <mergeCell ref="J3:O6"/>
  </mergeCells>
  <phoneticPr fontId="1"/>
  <conditionalFormatting sqref="B12:N42">
    <cfRule type="expression" dxfId="0" priority="2">
      <formula>WEEKDAY($B12:$B$42,2) &gt;= 6</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06879-5565-40FD-BB8B-8BE4366A3D8A}">
  <sheetPr codeName="Sheet6"/>
  <dimension ref="A1:C30"/>
  <sheetViews>
    <sheetView topLeftCell="A25" zoomScale="175" zoomScaleNormal="175" workbookViewId="0">
      <selection activeCell="B12" sqref="B12"/>
    </sheetView>
  </sheetViews>
  <sheetFormatPr defaultRowHeight="18.75"/>
  <cols>
    <col min="1" max="1" width="3.5" bestFit="1" customWidth="1"/>
    <col min="2" max="2" width="47.125" customWidth="1"/>
    <col min="3" max="3" width="42.25" customWidth="1"/>
  </cols>
  <sheetData>
    <row r="1" spans="1:3">
      <c r="A1" s="50" t="s">
        <v>44</v>
      </c>
      <c r="B1" s="50" t="s">
        <v>45</v>
      </c>
      <c r="C1" s="50" t="s">
        <v>46</v>
      </c>
    </row>
    <row r="2" spans="1:3">
      <c r="A2" s="1">
        <v>1</v>
      </c>
      <c r="B2" s="1"/>
      <c r="C2" s="1"/>
    </row>
    <row r="3" spans="1:3">
      <c r="A3" s="1">
        <v>2</v>
      </c>
      <c r="B3" s="1"/>
      <c r="C3" s="1"/>
    </row>
    <row r="4" spans="1:3">
      <c r="A4" s="1">
        <v>3</v>
      </c>
      <c r="B4" s="1"/>
      <c r="C4" s="1"/>
    </row>
    <row r="5" spans="1:3">
      <c r="A5" s="1">
        <v>4</v>
      </c>
      <c r="B5" s="1"/>
      <c r="C5" s="1"/>
    </row>
    <row r="6" spans="1:3">
      <c r="A6" s="1">
        <v>5</v>
      </c>
      <c r="B6" s="1"/>
      <c r="C6" s="1"/>
    </row>
    <row r="7" spans="1:3">
      <c r="A7" s="1">
        <v>6</v>
      </c>
      <c r="B7" s="1"/>
      <c r="C7" s="1"/>
    </row>
    <row r="8" spans="1:3">
      <c r="A8" s="1">
        <v>7</v>
      </c>
      <c r="B8" s="1"/>
      <c r="C8" s="1"/>
    </row>
    <row r="9" spans="1:3">
      <c r="A9" s="1">
        <v>8</v>
      </c>
      <c r="B9" s="1"/>
      <c r="C9" s="1"/>
    </row>
    <row r="10" spans="1:3">
      <c r="A10" s="1">
        <v>9</v>
      </c>
      <c r="B10" s="1"/>
      <c r="C10" s="1"/>
    </row>
    <row r="11" spans="1:3">
      <c r="A11" s="1">
        <v>10</v>
      </c>
      <c r="B11" s="1"/>
      <c r="C11" s="1"/>
    </row>
    <row r="12" spans="1:3">
      <c r="A12" s="1">
        <v>11</v>
      </c>
      <c r="B12" s="1"/>
      <c r="C12" s="1"/>
    </row>
    <row r="13" spans="1:3">
      <c r="A13" s="1">
        <v>12</v>
      </c>
      <c r="B13" s="1"/>
      <c r="C13" s="1"/>
    </row>
    <row r="14" spans="1:3">
      <c r="A14" s="1">
        <v>13</v>
      </c>
      <c r="B14" s="1"/>
      <c r="C14" s="1"/>
    </row>
    <row r="15" spans="1:3">
      <c r="A15" s="1">
        <v>14</v>
      </c>
      <c r="B15" s="1"/>
      <c r="C15" s="1"/>
    </row>
    <row r="26" spans="2:3">
      <c r="B26" t="s">
        <v>47</v>
      </c>
    </row>
    <row r="27" spans="2:3" ht="243.75">
      <c r="B27" s="12" t="s">
        <v>5</v>
      </c>
      <c r="C27" s="13" t="s">
        <v>6</v>
      </c>
    </row>
    <row r="30" spans="2:3" ht="243.75">
      <c r="B30" s="13" t="s">
        <v>11</v>
      </c>
      <c r="C30" s="13" t="s">
        <v>62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30C0A5-36BB-48DB-9419-6C0E453CB5EB}">
  <sheetPr codeName="Sheet2"/>
  <dimension ref="B3:D9"/>
  <sheetViews>
    <sheetView workbookViewId="0">
      <selection activeCell="C4" sqref="C4"/>
    </sheetView>
  </sheetViews>
  <sheetFormatPr defaultRowHeight="18.75"/>
  <cols>
    <col min="2" max="2" width="14.75" customWidth="1"/>
    <col min="3" max="3" width="19.75" customWidth="1"/>
    <col min="4" max="4" width="112" customWidth="1"/>
  </cols>
  <sheetData>
    <row r="3" spans="2:4">
      <c r="B3" s="109" t="s">
        <v>71</v>
      </c>
      <c r="C3" s="109" t="s">
        <v>89</v>
      </c>
      <c r="D3" s="109" t="s">
        <v>72</v>
      </c>
    </row>
    <row r="4" spans="2:4" ht="37.5">
      <c r="B4" s="13" t="s">
        <v>73</v>
      </c>
      <c r="C4" s="13" t="s">
        <v>74</v>
      </c>
      <c r="D4" s="13" t="s">
        <v>75</v>
      </c>
    </row>
    <row r="5" spans="2:4" ht="37.5">
      <c r="B5" s="13" t="s">
        <v>76</v>
      </c>
      <c r="C5" s="13" t="s">
        <v>77</v>
      </c>
      <c r="D5" s="13" t="s">
        <v>78</v>
      </c>
    </row>
    <row r="6" spans="2:4" ht="37.5">
      <c r="B6" s="13" t="s">
        <v>76</v>
      </c>
      <c r="C6" s="13" t="s">
        <v>79</v>
      </c>
      <c r="D6" s="13" t="s">
        <v>80</v>
      </c>
    </row>
    <row r="7" spans="2:4" ht="37.5">
      <c r="B7" s="13" t="s">
        <v>81</v>
      </c>
      <c r="C7" s="13" t="s">
        <v>82</v>
      </c>
      <c r="D7" s="13" t="s">
        <v>83</v>
      </c>
    </row>
    <row r="8" spans="2:4" ht="37.5">
      <c r="B8" s="13" t="s">
        <v>81</v>
      </c>
      <c r="C8" s="13" t="s">
        <v>84</v>
      </c>
      <c r="D8" s="13" t="s">
        <v>85</v>
      </c>
    </row>
    <row r="9" spans="2:4" ht="75">
      <c r="B9" s="13" t="s">
        <v>86</v>
      </c>
      <c r="C9" s="13" t="s">
        <v>87</v>
      </c>
      <c r="D9" s="13" t="s">
        <v>88</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CA40A-DA13-4FE1-8AE5-F2851FA3E397}">
  <sheetPr codeName="Sheet7"/>
  <dimension ref="A1:Y1"/>
  <sheetViews>
    <sheetView tabSelected="1" topLeftCell="A4" workbookViewId="0">
      <selection activeCell="F16" sqref="F16"/>
    </sheetView>
  </sheetViews>
  <sheetFormatPr defaultRowHeight="18.75"/>
  <cols>
    <col min="3" max="3" width="10.25" customWidth="1"/>
    <col min="4" max="4" width="10.5" customWidth="1"/>
    <col min="5" max="5" width="14.25" customWidth="1"/>
    <col min="6" max="14" width="11.625" customWidth="1"/>
    <col min="15" max="25" width="12.75" customWidth="1"/>
  </cols>
  <sheetData>
    <row r="1" spans="1:25">
      <c r="A1" t="s">
        <v>97</v>
      </c>
      <c r="B1" t="s">
        <v>91</v>
      </c>
      <c r="C1" t="s">
        <v>93</v>
      </c>
      <c r="D1" t="s">
        <v>92</v>
      </c>
      <c r="E1" t="s">
        <v>98</v>
      </c>
      <c r="F1" t="s">
        <v>99</v>
      </c>
      <c r="G1" t="s">
        <v>100</v>
      </c>
      <c r="H1" t="s">
        <v>101</v>
      </c>
      <c r="I1" t="s">
        <v>102</v>
      </c>
      <c r="J1" t="s">
        <v>103</v>
      </c>
      <c r="K1" t="s">
        <v>104</v>
      </c>
      <c r="L1" t="s">
        <v>105</v>
      </c>
      <c r="M1" t="s">
        <v>106</v>
      </c>
      <c r="N1" t="s">
        <v>107</v>
      </c>
      <c r="O1" t="s">
        <v>108</v>
      </c>
      <c r="P1" t="s">
        <v>109</v>
      </c>
      <c r="Q1" t="s">
        <v>110</v>
      </c>
      <c r="R1" t="s">
        <v>111</v>
      </c>
      <c r="S1" t="s">
        <v>112</v>
      </c>
      <c r="T1" t="s">
        <v>113</v>
      </c>
      <c r="U1" t="s">
        <v>114</v>
      </c>
      <c r="V1" t="s">
        <v>115</v>
      </c>
      <c r="W1" t="s">
        <v>116</v>
      </c>
      <c r="X1" t="s">
        <v>117</v>
      </c>
      <c r="Y1" t="s">
        <v>118</v>
      </c>
    </row>
  </sheetData>
  <phoneticPr fontId="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vt:i4>
      </vt:variant>
    </vt:vector>
  </HeadingPairs>
  <TitlesOfParts>
    <vt:vector size="7" baseType="lpstr">
      <vt:lpstr>データ取得</vt:lpstr>
      <vt:lpstr>データ登録</vt:lpstr>
      <vt:lpstr>月次データ</vt:lpstr>
      <vt:lpstr>改善希望,提案</vt:lpstr>
      <vt:lpstr>Sheet1</vt:lpstr>
      <vt:lpstr>マスタ</vt:lpstr>
      <vt:lpstr>Master_Table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Akihiro Katsuda</dc:creator>
  <cp:lastModifiedBy>Akihiro Katsuda</cp:lastModifiedBy>
  <dcterms:created xsi:type="dcterms:W3CDTF">2025-07-24T13:08:00Z</dcterms:created>
  <dcterms:modified xsi:type="dcterms:W3CDTF">2025-09-28T01:39:18Z</dcterms:modified>
</cp:coreProperties>
</file>