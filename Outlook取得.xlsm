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-vba\vba-files\"/>
    </mc:Choice>
  </mc:AlternateContent>
  <xr:revisionPtr revIDLastSave="0" documentId="8_{0609F40E-EAAF-489E-857C-CFD82C57FB95}" xr6:coauthVersionLast="47" xr6:coauthVersionMax="47" xr10:uidLastSave="{00000000-0000-0000-0000-000000000000}"/>
  <bookViews>
    <workbookView xWindow="38280" yWindow="-120" windowWidth="29040" windowHeight="15720" activeTab="1" xr2:uid="{8353EE9E-DC74-4A3A-8109-005E100CDCC1}"/>
  </bookViews>
  <sheets>
    <sheet name="データ取得" sheetId="1" r:id="rId1"/>
    <sheet name="データ登録" sheetId="5" r:id="rId2"/>
    <sheet name="Master" sheetId="2" r:id="rId3"/>
    <sheet name="月次データ" sheetId="4" r:id="rId4"/>
    <sheet name="Sheet3" sheetId="3" r:id="rId5"/>
  </sheets>
  <definedNames>
    <definedName name="_xleta.T" hidden="1" xlm="1">#NAME?</definedName>
    <definedName name="ClassList">Master!$A$5:$A$17</definedName>
    <definedName name="ClassList_区分">Master!$A$19:$A$32</definedName>
    <definedName name="KeyMatrix">Master!$B$5:$K$16</definedName>
    <definedName name="KeyMatrix_区分">Master!$B$19:$K$32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5" l="1"/>
  <c r="E1" i="5" s="1"/>
  <c r="E8" i="5"/>
  <c r="E9" i="5"/>
  <c r="E10" i="5"/>
  <c r="E11" i="5"/>
  <c r="E12" i="5"/>
  <c r="E13" i="5"/>
  <c r="E14" i="5"/>
  <c r="E15" i="5"/>
  <c r="E6" i="5"/>
  <c r="E7" i="5"/>
  <c r="F22" i="1" a="1"/>
  <c r="F22" i="1" s="1"/>
  <c r="H22" i="1" a="1"/>
  <c r="H22" i="1" s="1"/>
  <c r="F19" i="1" a="1"/>
  <c r="F19" i="1" s="1"/>
  <c r="H19" i="1" a="1"/>
  <c r="H19" i="1" s="1"/>
  <c r="F20" i="1" a="1"/>
  <c r="F20" i="1" s="1"/>
  <c r="H20" i="1" a="1"/>
  <c r="H20" i="1" s="1"/>
  <c r="F21" i="1" a="1"/>
  <c r="F21" i="1" s="1"/>
  <c r="H21" i="1" a="1"/>
  <c r="H21" i="1" s="1"/>
  <c r="F14" i="1" a="1"/>
  <c r="F14" i="1" s="1"/>
  <c r="H14" i="1" a="1"/>
  <c r="H14" i="1" s="1"/>
  <c r="F15" i="1" a="1"/>
  <c r="F15" i="1"/>
  <c r="H15" i="1" a="1"/>
  <c r="H15" i="1" s="1"/>
  <c r="F16" i="1" a="1"/>
  <c r="F16" i="1" s="1"/>
  <c r="H16" i="1" a="1"/>
  <c r="H16" i="1" s="1"/>
  <c r="F17" i="1" a="1"/>
  <c r="F17" i="1" s="1"/>
  <c r="H17" i="1" a="1"/>
  <c r="H17" i="1" s="1"/>
  <c r="F18" i="1" a="1"/>
  <c r="F18" i="1" s="1"/>
  <c r="H18" i="1" a="1"/>
  <c r="H18" i="1" s="1"/>
  <c r="F8" i="1" a="1"/>
  <c r="F8" i="1" s="1"/>
  <c r="H8" i="1" a="1"/>
  <c r="H8" i="1" s="1"/>
  <c r="F9" i="1" a="1"/>
  <c r="F9" i="1" s="1"/>
  <c r="H9" i="1" a="1"/>
  <c r="H9" i="1" s="1"/>
  <c r="F10" i="1" a="1"/>
  <c r="F10" i="1" s="1"/>
  <c r="H10" i="1" a="1"/>
  <c r="H10" i="1" s="1"/>
  <c r="H11" i="1" a="1"/>
  <c r="H11" i="1" s="1"/>
  <c r="H12" i="1" a="1"/>
  <c r="H12" i="1" s="1"/>
  <c r="H13" i="1" a="1"/>
  <c r="H13" i="1" s="1"/>
  <c r="B11" i="4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F11" i="1" a="1"/>
  <c r="F11" i="1" s="1"/>
  <c r="F12" i="1" a="1"/>
  <c r="F12" i="1" s="1"/>
  <c r="F13" i="1" a="1"/>
  <c r="F13" i="1" s="1"/>
  <c r="C3" i="1"/>
  <c r="D3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<sst xmlns="http://schemas.openxmlformats.org/spreadsheetml/2006/main" count="94" uniqueCount="67">
  <si>
    <t>0900-1030</t>
  </si>
  <si>
    <t>1300-1400</t>
  </si>
  <si>
    <t>1630-1700</t>
  </si>
  <si>
    <t>任意日付</t>
    <rPh sb="0" eb="4">
      <t>ニンイヒヅケ</t>
    </rPh>
    <phoneticPr fontId="1"/>
  </si>
  <si>
    <t>データ取得用シート</t>
    <rPh sb="3" eb="5">
      <t>シュトク</t>
    </rPh>
    <rPh sb="5" eb="6">
      <t>ヨウ</t>
    </rPh>
    <phoneticPr fontId="1"/>
  </si>
  <si>
    <t>機能： Excelセルから日付を読み取り、Outlookから該当日の予定を取得して
      　  シートに一覧表示します。</t>
    <rPh sb="0" eb="2">
      <t>キノウ</t>
    </rPh>
    <phoneticPr fontId="1"/>
  </si>
  <si>
    <t>←空欄時には"取得日"に前営業日が入力されます。</t>
    <rPh sb="1" eb="4">
      <t>クウランジ</t>
    </rPh>
    <rPh sb="7" eb="10">
      <t>シュトクビ</t>
    </rPh>
    <rPh sb="12" eb="16">
      <t>ゼンエイギョウビ</t>
    </rPh>
    <rPh sb="17" eb="19">
      <t>ニュウリョク</t>
    </rPh>
    <phoneticPr fontId="1"/>
  </si>
  <si>
    <t>取得日</t>
    <rPh sb="0" eb="2">
      <t>シュトク</t>
    </rPh>
    <rPh sb="2" eb="3">
      <t>ビ</t>
    </rPh>
    <phoneticPr fontId="1"/>
  </si>
  <si>
    <t>No.</t>
    <phoneticPr fontId="1"/>
  </si>
  <si>
    <t>分類1</t>
    <rPh sb="0" eb="2">
      <t>ブンルイ</t>
    </rPh>
    <phoneticPr fontId="1"/>
  </si>
  <si>
    <t>分類2</t>
    <rPh sb="0" eb="2">
      <t>ブンルイ</t>
    </rPh>
    <phoneticPr fontId="1"/>
  </si>
  <si>
    <t>３C</t>
    <phoneticPr fontId="1"/>
  </si>
  <si>
    <t>デジタル</t>
    <phoneticPr fontId="1"/>
  </si>
  <si>
    <t>デジ</t>
    <phoneticPr fontId="1"/>
  </si>
  <si>
    <t>４G</t>
    <phoneticPr fontId="1"/>
  </si>
  <si>
    <t>山口</t>
    <rPh sb="0" eb="2">
      <t>ヤマグチ</t>
    </rPh>
    <phoneticPr fontId="1"/>
  </si>
  <si>
    <t>「=LET(
    t,   UPPER(D8), 
    valid, IF(KeyMatrix&lt;&gt;"", --ISNUMBER(SEARCH(UPPER(KeyMatrix), t)), 0),
    hits, BYROW(valid, LAMBDA(r, OR(r))),
    idx,  XMATCH(TRUE, hits, 0),
    IFERROR(INDEX(ClassList, idx), "")
)」</t>
    <phoneticPr fontId="1"/>
  </si>
  <si>
    <t>[IFERROR(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t>
    <phoneticPr fontId="1"/>
  </si>
  <si>
    <t>登録ワード１</t>
    <rPh sb="0" eb="2">
      <t>トウロク</t>
    </rPh>
    <phoneticPr fontId="1"/>
  </si>
  <si>
    <t>登録ワード２</t>
    <rPh sb="0" eb="2">
      <t>トウロク</t>
    </rPh>
    <phoneticPr fontId="1"/>
  </si>
  <si>
    <t>登録ワード３</t>
    <rPh sb="0" eb="2">
      <t>トウロク</t>
    </rPh>
    <phoneticPr fontId="1"/>
  </si>
  <si>
    <t>登録ワード４</t>
    <rPh sb="0" eb="2">
      <t>トウロク</t>
    </rPh>
    <phoneticPr fontId="1"/>
  </si>
  <si>
    <t>登録ワード５</t>
    <rPh sb="0" eb="2">
      <t>トウロク</t>
    </rPh>
    <phoneticPr fontId="1"/>
  </si>
  <si>
    <t>登録ワード６</t>
    <rPh sb="0" eb="2">
      <t>トウロク</t>
    </rPh>
    <phoneticPr fontId="1"/>
  </si>
  <si>
    <t>登録ワード７</t>
    <rPh sb="0" eb="2">
      <t>トウロク</t>
    </rPh>
    <phoneticPr fontId="1"/>
  </si>
  <si>
    <t>登録ワード８</t>
    <rPh sb="0" eb="2">
      <t>トウロク</t>
    </rPh>
    <phoneticPr fontId="1"/>
  </si>
  <si>
    <t>登録ワード９</t>
    <rPh sb="0" eb="2">
      <t>トウロク</t>
    </rPh>
    <phoneticPr fontId="1"/>
  </si>
  <si>
    <t>登録ワード１０</t>
    <rPh sb="0" eb="2">
      <t>トウロク</t>
    </rPh>
    <phoneticPr fontId="1"/>
  </si>
  <si>
    <t>注目</t>
    <rPh sb="0" eb="2">
      <t>チュウモク</t>
    </rPh>
    <phoneticPr fontId="1"/>
  </si>
  <si>
    <t>2J</t>
    <phoneticPr fontId="1"/>
  </si>
  <si>
    <t>E0017</t>
    <phoneticPr fontId="1"/>
  </si>
  <si>
    <t>■取得データの確認用</t>
    <rPh sb="1" eb="3">
      <t>シュトク</t>
    </rPh>
    <rPh sb="7" eb="10">
      <t>カクニンヨウ</t>
    </rPh>
    <phoneticPr fontId="1"/>
  </si>
  <si>
    <t>作番</t>
    <rPh sb="0" eb="2">
      <t>サクバン</t>
    </rPh>
    <phoneticPr fontId="1"/>
  </si>
  <si>
    <t>合計(時間)</t>
    <rPh sb="0" eb="2">
      <t>ゴウケイ</t>
    </rPh>
    <rPh sb="3" eb="5">
      <t>ジカン</t>
    </rPh>
    <phoneticPr fontId="1"/>
  </si>
  <si>
    <t>合計(分)</t>
    <rPh sb="0" eb="2">
      <t>ゴウケイ</t>
    </rPh>
    <rPh sb="3" eb="4">
      <t>フン</t>
    </rPh>
    <phoneticPr fontId="1"/>
  </si>
  <si>
    <t>設定</t>
    <rPh sb="0" eb="2">
      <t>セッテイ</t>
    </rPh>
    <phoneticPr fontId="1"/>
  </si>
  <si>
    <t>日付</t>
    <rPh sb="0" eb="2">
      <t>ヒヅケ</t>
    </rPh>
    <phoneticPr fontId="1"/>
  </si>
  <si>
    <t>合計時間</t>
    <rPh sb="0" eb="4">
      <t>ゴウケイジカン</t>
    </rPh>
    <phoneticPr fontId="1"/>
  </si>
  <si>
    <t>作番1</t>
    <rPh sb="0" eb="2">
      <t>サクバン</t>
    </rPh>
    <phoneticPr fontId="1"/>
  </si>
  <si>
    <t>作番2</t>
    <rPh sb="0" eb="2">
      <t>サクバン</t>
    </rPh>
    <phoneticPr fontId="1"/>
  </si>
  <si>
    <t>作番3</t>
    <rPh sb="0" eb="2">
      <t>サクバン</t>
    </rPh>
    <phoneticPr fontId="1"/>
  </si>
  <si>
    <t>作番4</t>
    <rPh sb="0" eb="2">
      <t>サクバン</t>
    </rPh>
    <phoneticPr fontId="1"/>
  </si>
  <si>
    <t>不足時間</t>
    <rPh sb="0" eb="4">
      <t>フソクジカン</t>
    </rPh>
    <phoneticPr fontId="1"/>
  </si>
  <si>
    <t>基準月</t>
    <rPh sb="0" eb="2">
      <t>キジュン</t>
    </rPh>
    <rPh sb="2" eb="3">
      <t>ツキ</t>
    </rPh>
    <phoneticPr fontId="1"/>
  </si>
  <si>
    <t>#</t>
    <phoneticPr fontId="1"/>
  </si>
  <si>
    <t>区分</t>
    <rPh sb="0" eb="2">
      <t>クブン</t>
    </rPh>
    <phoneticPr fontId="1"/>
  </si>
  <si>
    <t>目安時間</t>
    <rPh sb="0" eb="2">
      <t>メヤス</t>
    </rPh>
    <rPh sb="2" eb="4">
      <t>ジカン</t>
    </rPh>
    <phoneticPr fontId="1"/>
  </si>
  <si>
    <t>[=IFERROR(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"")]</t>
    <phoneticPr fontId="1"/>
  </si>
  <si>
    <t>[=IFERROR(
    INDEX(ClassList_区分,
          MATCH(1,
                --(MMULT(
                       --( (KeyMatrix_区分&lt;&gt;"") * ISNUMBER(SEARCH(UPPER(KeyMatrix_区分), UPPER(D8))) ),
                       TRANSPOSE(COLUMN(KeyMatrix_区分)^0)
                   )&gt;0),
                0)
         ),
    "")]</t>
    <phoneticPr fontId="1"/>
  </si>
  <si>
    <t>時間</t>
    <phoneticPr fontId="1"/>
  </si>
  <si>
    <t>件名</t>
    <phoneticPr fontId="1"/>
  </si>
  <si>
    <t>会議時間</t>
    <phoneticPr fontId="1"/>
  </si>
  <si>
    <t>作番名称</t>
    <rPh sb="0" eb="2">
      <t>サクバン</t>
    </rPh>
    <rPh sb="2" eb="4">
      <t>メイショウ</t>
    </rPh>
    <phoneticPr fontId="1"/>
  </si>
  <si>
    <t>区分名称</t>
    <rPh sb="0" eb="4">
      <t>クブンメイショウ</t>
    </rPh>
    <phoneticPr fontId="1"/>
  </si>
  <si>
    <t>設定時間</t>
    <rPh sb="0" eb="4">
      <t>セッテイジカン</t>
    </rPh>
    <phoneticPr fontId="1"/>
  </si>
  <si>
    <t>■参考データ</t>
    <rPh sb="1" eb="3">
      <t>サンコウ</t>
    </rPh>
    <phoneticPr fontId="1"/>
  </si>
  <si>
    <t>登録時間</t>
    <rPh sb="0" eb="4">
      <t>トウロクジカン</t>
    </rPh>
    <phoneticPr fontId="1"/>
  </si>
  <si>
    <t>登録日</t>
    <rPh sb="0" eb="3">
      <t>トウロクビ</t>
    </rPh>
    <phoneticPr fontId="1"/>
  </si>
  <si>
    <t>E0017</t>
  </si>
  <si>
    <t>作番外</t>
    <rPh sb="0" eb="2">
      <t>サクバン</t>
    </rPh>
    <rPh sb="2" eb="3">
      <t>ガイ</t>
    </rPh>
    <phoneticPr fontId="1"/>
  </si>
  <si>
    <t>2J</t>
  </si>
  <si>
    <t>0130</t>
  </si>
  <si>
    <t>0101</t>
  </si>
  <si>
    <t>0130</t>
    <phoneticPr fontId="1"/>
  </si>
  <si>
    <t>登録時間</t>
    <rPh sb="0" eb="2">
      <t>トウロク</t>
    </rPh>
    <rPh sb="2" eb="4">
      <t>ジカン</t>
    </rPh>
    <phoneticPr fontId="1"/>
  </si>
  <si>
    <t>任意時間</t>
    <rPh sb="0" eb="4">
      <t>ニンイジカン</t>
    </rPh>
    <phoneticPr fontId="1"/>
  </si>
  <si>
    <t>←空欄時には"登録日"に前営業日が入力されます。</t>
    <rPh sb="1" eb="4">
      <t>クウランジ</t>
    </rPh>
    <rPh sb="7" eb="9">
      <t>トウロク</t>
    </rPh>
    <rPh sb="9" eb="10">
      <t>ビ</t>
    </rPh>
    <rPh sb="12" eb="16">
      <t>ゼンエイギョウビ</t>
    </rPh>
    <rPh sb="17" eb="19">
      <t>ニュウリョク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</si>
</sst>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m/dd"/>
    <numFmt numFmtId="177" formatCode="m&quot;月&quot;d&quot;日&quot;\(aaa\)"/>
    <numFmt numFmtId="178" formatCode="hhmm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8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5" xfId="0" applyNumberFormat="1" applyFont="1" applyBorder="1" applyProtection="1">
      <alignment vertical="center"/>
      <protection locked="0"/>
    </xf>
    <xf numFmtId="0" fontId="3" fillId="0" borderId="4" xfId="0" applyFont="1" applyBorder="1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176" fontId="0" fillId="2" borderId="3" xfId="0" applyNumberFormat="1" applyFill="1" applyBorder="1">
      <alignment vertical="center"/>
    </xf>
    <xf numFmtId="0" fontId="4" fillId="0" borderId="0" xfId="0" applyFont="1" applyProtection="1">
      <alignment vertical="center"/>
      <protection locked="0"/>
    </xf>
    <xf numFmtId="0" fontId="0" fillId="0" borderId="1" xfId="0" applyBorder="1" applyProtection="1">
      <alignment vertical="center"/>
      <protection locked="0"/>
    </xf>
    <xf numFmtId="49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3" borderId="1" xfId="0" applyFill="1" applyBorder="1">
      <alignment vertical="center"/>
    </xf>
    <xf numFmtId="0" fontId="2" fillId="3" borderId="1" xfId="0" applyFont="1" applyFill="1" applyBorder="1" applyProtection="1">
      <alignment vertical="center"/>
      <protection locked="0"/>
    </xf>
    <xf numFmtId="177" fontId="0" fillId="0" borderId="1" xfId="0" applyNumberFormat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55" fontId="0" fillId="5" borderId="1" xfId="0" applyNumberFormat="1" applyFill="1" applyBorder="1">
      <alignment vertical="center"/>
    </xf>
    <xf numFmtId="0" fontId="0" fillId="0" borderId="0" xfId="0" applyAlignment="1">
      <alignment horizontal="right" vertical="center"/>
    </xf>
    <xf numFmtId="0" fontId="0" fillId="2" borderId="1" xfId="0" applyFill="1" applyBorder="1">
      <alignment vertical="center"/>
    </xf>
    <xf numFmtId="0" fontId="2" fillId="3" borderId="7" xfId="0" applyFont="1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2" fillId="3" borderId="6" xfId="0" applyFont="1" applyFill="1" applyBorder="1" applyProtection="1">
      <alignment vertical="center"/>
      <protection locked="0"/>
    </xf>
    <xf numFmtId="0" fontId="0" fillId="0" borderId="6" xfId="0" applyBorder="1" applyProtection="1">
      <alignment vertical="center"/>
      <protection locked="0"/>
    </xf>
    <xf numFmtId="0" fontId="5" fillId="3" borderId="6" xfId="0" applyFont="1" applyFill="1" applyBorder="1" applyProtection="1">
      <alignment vertical="center"/>
      <protection locked="0"/>
    </xf>
    <xf numFmtId="0" fontId="0" fillId="6" borderId="1" xfId="0" applyFill="1" applyBorder="1">
      <alignment vertical="center"/>
    </xf>
    <xf numFmtId="0" fontId="3" fillId="0" borderId="1" xfId="0" applyFont="1" applyBorder="1">
      <alignment vertical="center"/>
    </xf>
    <xf numFmtId="176" fontId="2" fillId="0" borderId="0" xfId="0" applyNumberFormat="1" applyFont="1" applyProtection="1">
      <alignment vertical="center"/>
      <protection locked="0"/>
    </xf>
    <xf numFmtId="178" fontId="0" fillId="0" borderId="1" xfId="0" applyNumberFormat="1" applyBorder="1" applyProtection="1">
      <alignment vertical="center"/>
      <protection locked="0"/>
    </xf>
    <xf numFmtId="0" fontId="0" fillId="0" borderId="0" xfId="0" applyAlignment="1" applyProtection="1">
      <alignment vertical="top" wrapText="1"/>
      <protection locked="0"/>
    </xf>
    <xf numFmtId="178" fontId="0" fillId="0" borderId="1" xfId="0" applyNumberFormat="1" applyBorder="1" applyAlignment="1">
      <alignment vertical="center" wrapText="1"/>
    </xf>
    <xf numFmtId="49" fontId="0" fillId="0" borderId="0" xfId="0" applyNumberFormat="1" applyProtection="1">
      <alignment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5EC28-F2F3-43E3-A36D-60222CF0D683}">
  <sheetPr codeName="Sheet1"/>
  <dimension ref="A1:I25"/>
  <sheetViews>
    <sheetView showGridLines="0" zoomScale="145" zoomScaleNormal="145" workbookViewId="0">
      <selection activeCell="D3" sqref="D3"/>
    </sheetView>
  </sheetViews>
  <sheetFormatPr defaultRowHeight="18.75" x14ac:dyDescent="0.4"/>
  <cols>
    <col min="1" max="1" width="3" style="2" customWidth="1"/>
    <col min="2" max="2" width="8.5" style="2" customWidth="1"/>
    <col min="3" max="3" width="10.375" style="2" bestFit="1" customWidth="1"/>
    <col min="4" max="4" width="42" style="2" customWidth="1"/>
    <col min="5" max="5" width="9.25" style="2" bestFit="1" customWidth="1"/>
    <col min="6" max="6" width="9.125" style="2" customWidth="1"/>
    <col min="7" max="7" width="9.75" style="2" customWidth="1"/>
    <col min="8" max="8" width="10.375" style="2" customWidth="1"/>
    <col min="9" max="9" width="10.75" style="2" bestFit="1" customWidth="1"/>
    <col min="10" max="16384" width="9" style="2"/>
  </cols>
  <sheetData>
    <row r="1" spans="1:9" ht="28.5" customHeight="1" x14ac:dyDescent="0.4">
      <c r="A1" s="9" t="s">
        <v>4</v>
      </c>
    </row>
    <row r="2" spans="1:9" ht="49.5" customHeight="1" thickBot="1" x14ac:dyDescent="0.45">
      <c r="B2" s="31" t="s">
        <v>5</v>
      </c>
      <c r="C2" s="31"/>
      <c r="D2" s="31"/>
      <c r="E2" s="31"/>
      <c r="F2" s="3"/>
      <c r="G2" s="3"/>
      <c r="H2" s="3"/>
      <c r="I2" s="3"/>
    </row>
    <row r="3" spans="1:9" x14ac:dyDescent="0.4">
      <c r="B3" s="7" t="s">
        <v>7</v>
      </c>
      <c r="C3" s="8">
        <f ca="1">IF($C$4&lt;&gt;"",$C$4,WORKDAY(TODAY(),-1))</f>
        <v>45861</v>
      </c>
      <c r="D3" s="2" t="str">
        <f ca="1">TEXT(C3,"aaaa")</f>
        <v>水曜日</v>
      </c>
      <c r="E3" s="33"/>
    </row>
    <row r="4" spans="1:9" ht="19.5" thickBot="1" x14ac:dyDescent="0.45">
      <c r="B4" s="5" t="s">
        <v>3</v>
      </c>
      <c r="C4" s="4">
        <v>45861</v>
      </c>
      <c r="D4" s="6" t="s">
        <v>6</v>
      </c>
    </row>
    <row r="6" spans="1:9" x14ac:dyDescent="0.4">
      <c r="B6" s="3" t="s">
        <v>31</v>
      </c>
      <c r="C6" s="3"/>
      <c r="D6" s="3"/>
    </row>
    <row r="7" spans="1:9" x14ac:dyDescent="0.4">
      <c r="B7" s="15" t="s">
        <v>8</v>
      </c>
      <c r="C7" s="15" t="s">
        <v>49</v>
      </c>
      <c r="D7" s="15" t="s">
        <v>50</v>
      </c>
      <c r="E7" s="15" t="s">
        <v>51</v>
      </c>
      <c r="F7" s="22" t="s">
        <v>32</v>
      </c>
      <c r="G7" s="26"/>
      <c r="H7" s="22" t="s">
        <v>45</v>
      </c>
      <c r="I7" s="24"/>
    </row>
    <row r="8" spans="1:9" x14ac:dyDescent="0.4">
      <c r="B8" s="10">
        <v>1</v>
      </c>
      <c r="C8" s="10" t="s">
        <v>0</v>
      </c>
      <c r="D8" s="11" t="s">
        <v>12</v>
      </c>
      <c r="E8" s="11" t="s">
        <v>61</v>
      </c>
      <c r="F8" s="23" t="str" cm="1">
        <f t="array" ref="F8">IFERROR(
    INDEX(ClassList,
          MATCH(1,
                --(MMULT(
                       --( (KeyMatrix&lt;&gt;"") * ISNUMBER(SEARCH(UPPER(KeyMatrix), UPPER(D8))) ),
                       TRANSPOSE(COLUMN(KeyMatrix)^0)
                   )&gt;0),
                0)
         ),
    "")</f>
        <v>2J</v>
      </c>
      <c r="G8" s="25"/>
      <c r="H8" s="23" t="str" cm="1">
        <f t="array" ref="H8">IFERROR(
    INDEX(ClassList_区分,
          MATCH(1,
                --(MMULT(
                       --( (KeyMatrix_区分&lt;&gt;"") * ISNUMBER(SEARCH(UPPER(KeyMatrix_区分), UPPER(D8))) ),
                       TRANSPOSE(COLUMN(KeyMatrix_区分)^0)
                   )&gt;0),
                0)
         ),
    "")</f>
        <v>E0017</v>
      </c>
      <c r="I8" s="25"/>
    </row>
    <row r="9" spans="1:9" x14ac:dyDescent="0.4">
      <c r="B9" s="10">
        <v>2</v>
      </c>
      <c r="C9" s="10" t="s">
        <v>1</v>
      </c>
      <c r="D9" s="11" t="s">
        <v>12</v>
      </c>
      <c r="E9" s="11" t="s">
        <v>63</v>
      </c>
      <c r="F9" s="23" t="str" cm="1">
        <f t="array" ref="F9">IFERROR(
    INDEX(ClassList,
          MATCH(1,
                --(MMULT(
                       --( (KeyMatrix&lt;&gt;"") * ISNUMBER(SEARCH(UPPER(KeyMatrix), UPPER(D9))) ),
                       TRANSPOSE(COLUMN(KeyMatrix)^0)
                   )&gt;0),
                0)
         ),
    "")</f>
        <v>2J</v>
      </c>
      <c r="G9" s="25"/>
      <c r="H9" s="23" t="str" cm="1">
        <f t="array" ref="H9">IFERROR(
    INDEX(ClassList_区分,
          MATCH(1,
                --(MMULT(
                       --( (KeyMatrix_区分&lt;&gt;"") * ISNUMBER(SEARCH(UPPER(KeyMatrix_区分), UPPER(D9))) ),
                       TRANSPOSE(COLUMN(KeyMatrix_区分)^0)
                   )&gt;0),
                0)
         ),
    "")</f>
        <v>E0017</v>
      </c>
      <c r="I9" s="25"/>
    </row>
    <row r="10" spans="1:9" x14ac:dyDescent="0.4">
      <c r="B10" s="10">
        <v>3</v>
      </c>
      <c r="C10" s="10" t="s">
        <v>2</v>
      </c>
      <c r="D10" s="11" t="s">
        <v>12</v>
      </c>
      <c r="E10" s="11" t="s">
        <v>62</v>
      </c>
      <c r="F10" s="23" t="str" cm="1">
        <f t="array" ref="F10">IFERROR(
    INDEX(ClassList,
          MATCH(1,
                --(MMULT(
                       --( (KeyMatrix&lt;&gt;"") * ISNUMBER(SEARCH(UPPER(KeyMatrix), UPPER(D10))) ),
                       TRANSPOSE(COLUMN(KeyMatrix)^0)
                   )&gt;0),
                0)
         ),
    "")</f>
        <v>2J</v>
      </c>
      <c r="G10" s="25"/>
      <c r="H10" s="23" t="str" cm="1">
        <f t="array" ref="H10">IFERROR(
    INDEX(ClassList_区分,
          MATCH(1,
                --(MMULT(
                       --( (KeyMatrix_区分&lt;&gt;"") * ISNUMBER(SEARCH(UPPER(KeyMatrix_区分), UPPER(D10))) ),
                       TRANSPOSE(COLUMN(KeyMatrix_区分)^0)
                   )&gt;0),
                0)
         ),
    "")</f>
        <v>E0017</v>
      </c>
      <c r="I10" s="25"/>
    </row>
    <row r="11" spans="1:9" x14ac:dyDescent="0.4">
      <c r="B11" s="10">
        <v>4</v>
      </c>
      <c r="C11" s="10"/>
      <c r="D11" s="11"/>
      <c r="E11" s="30"/>
      <c r="F11" s="23" t="str" cm="1">
        <f t="array" ref="F11">IFERROR(
    INDEX(ClassList,
          MATCH(1,
                --(MMULT(
                       --( (KeyMatrix&lt;&gt;"") * ISNUMBER(SEARCH(UPPER(KeyMatrix), UPPER(D11))) ),
                       TRANSPOSE(COLUMN(KeyMatrix)^0)
                   )&gt;0),
                0)
         ),
    "")</f>
        <v/>
      </c>
      <c r="G11" s="25"/>
      <c r="H11" s="23" t="str" cm="1">
        <f t="array" ref="H11">IFERROR(
    INDEX(ClassList_区分,
          MATCH(1,
                --(MMULT(
                       --( (KeyMatrix_区分&lt;&gt;"") * ISNUMBER(SEARCH(UPPER(KeyMatrix_区分), UPPER(D11))) ),
                       TRANSPOSE(COLUMN(KeyMatrix_区分)^0)
                   )&gt;0),
                0)
         ),
    "")</f>
        <v/>
      </c>
      <c r="I11" s="25"/>
    </row>
    <row r="12" spans="1:9" x14ac:dyDescent="0.4">
      <c r="B12" s="10">
        <v>5</v>
      </c>
      <c r="C12" s="10"/>
      <c r="D12" s="11"/>
      <c r="E12" s="30"/>
      <c r="F12" s="23" t="str" cm="1">
        <f t="array" ref="F12">IFERROR(
    INDEX(ClassList,
          MATCH(1,
                --(MMULT(
                       --( (KeyMatrix&lt;&gt;"") * ISNUMBER(SEARCH(UPPER(KeyMatrix), UPPER(D12))) ),
                       TRANSPOSE(COLUMN(KeyMatrix)^0)
                   )&gt;0),
                0)
         ),
    "")</f>
        <v/>
      </c>
      <c r="G12" s="25"/>
      <c r="H12" s="23" t="str" cm="1">
        <f t="array" ref="H12">IFERROR(
    INDEX(ClassList_区分,
          MATCH(1,
                --(MMULT(
                       --( (KeyMatrix_区分&lt;&gt;"") * ISNUMBER(SEARCH(UPPER(KeyMatrix_区分), UPPER(D12))) ),
                       TRANSPOSE(COLUMN(KeyMatrix_区分)^0)
                   )&gt;0),
                0)
         ),
    "")</f>
        <v/>
      </c>
      <c r="I12" s="25"/>
    </row>
    <row r="13" spans="1:9" x14ac:dyDescent="0.4">
      <c r="B13" s="10">
        <v>6</v>
      </c>
      <c r="C13" s="10"/>
      <c r="D13" s="11"/>
      <c r="E13" s="30"/>
      <c r="F13" s="23" t="str" cm="1">
        <f t="array" ref="F13">IFERROR(
    INDEX(ClassList,
          MATCH(1,
                --(MMULT(
                       --ISNUMBER(SEARCH(UPPER(KeyMatrix), UPPER(D13))),
                       TRANSPOSE(COLUMN(KeyMatrix)^0)
                   )&gt;0),
                0)
         ),
    "")</f>
        <v/>
      </c>
      <c r="G13" s="25"/>
      <c r="H13" s="23" t="str" cm="1">
        <f t="array" ref="H13">IFERROR(
    INDEX(ClassList_区分,
          MATCH(1,
                --(MMULT(
                       --( (KeyMatrix_区分&lt;&gt;"") * ISNUMBER(SEARCH(UPPER(KeyMatrix_区分), UPPER(D13))) ),
                       TRANSPOSE(COLUMN(KeyMatrix_区分)^0)
                   )&gt;0),
                0)
         ),
    "")</f>
        <v/>
      </c>
      <c r="I13" s="25"/>
    </row>
    <row r="14" spans="1:9" x14ac:dyDescent="0.4">
      <c r="B14" s="10">
        <v>7</v>
      </c>
      <c r="C14" s="10"/>
      <c r="D14" s="11"/>
      <c r="E14" s="30"/>
      <c r="F14" s="23" t="str" cm="1">
        <f t="array" ref="F14">IFERROR(
    INDEX(ClassList,
          MATCH(1,
                --(MMULT(
                       --ISNUMBER(SEARCH(UPPER(KeyMatrix), UPPER(D14))),
                       TRANSPOSE(COLUMN(KeyMatrix)^0)
                   )&gt;0),
                0)
         ),
    "")</f>
        <v/>
      </c>
      <c r="G14" s="25"/>
      <c r="H14" s="23" t="str" cm="1">
        <f t="array" ref="H14">IFERROR(
    INDEX(ClassList_区分,
          MATCH(1,
                --(MMULT(
                       --( (KeyMatrix_区分&lt;&gt;"") * ISNUMBER(SEARCH(UPPER(KeyMatrix_区分), UPPER(D14))) ),
                       TRANSPOSE(COLUMN(KeyMatrix_区分)^0)
                   )&gt;0),
                0)
         ),
    "")</f>
        <v/>
      </c>
      <c r="I14" s="25"/>
    </row>
    <row r="15" spans="1:9" x14ac:dyDescent="0.4">
      <c r="B15" s="10">
        <v>8</v>
      </c>
      <c r="C15" s="10"/>
      <c r="D15" s="11"/>
      <c r="E15" s="30"/>
      <c r="F15" s="23" t="str" cm="1">
        <f t="array" ref="F15">IFERROR(
    INDEX(ClassList,
          MATCH(1,
                --(MMULT(
                       --ISNUMBER(SEARCH(UPPER(KeyMatrix), UPPER(D15))),
                       TRANSPOSE(COLUMN(KeyMatrix)^0)
                   )&gt;0),
                0)
         ),
    "")</f>
        <v/>
      </c>
      <c r="G15" s="25"/>
      <c r="H15" s="23" t="str" cm="1">
        <f t="array" ref="H15">IFERROR(
    INDEX(ClassList_区分,
          MATCH(1,
                --(MMULT(
                       --( (KeyMatrix_区分&lt;&gt;"") * ISNUMBER(SEARCH(UPPER(KeyMatrix_区分), UPPER(D15))) ),
                       TRANSPOSE(COLUMN(KeyMatrix_区分)^0)
                   )&gt;0),
                0)
         ),
    "")</f>
        <v/>
      </c>
      <c r="I15" s="25"/>
    </row>
    <row r="16" spans="1:9" x14ac:dyDescent="0.4">
      <c r="B16" s="10">
        <v>9</v>
      </c>
      <c r="C16" s="10"/>
      <c r="D16" s="10"/>
      <c r="E16" s="30"/>
      <c r="F16" s="23" t="str" cm="1">
        <f t="array" ref="F16">IFERROR(
    INDEX(ClassList,
          MATCH(1,
                --(MMULT(
                       --ISNUMBER(SEARCH(UPPER(KeyMatrix), UPPER(D16))),
                       TRANSPOSE(COLUMN(KeyMatrix)^0)
                   )&gt;0),
                0)
         ),
    "")</f>
        <v/>
      </c>
      <c r="G16" s="25"/>
      <c r="H16" s="23" t="str" cm="1">
        <f t="array" ref="H16">IFERROR(
    INDEX(ClassList_区分,
          MATCH(1,
                --(MMULT(
                       --( (KeyMatrix_区分&lt;&gt;"") * ISNUMBER(SEARCH(UPPER(KeyMatrix_区分), UPPER(D16))) ),
                       TRANSPOSE(COLUMN(KeyMatrix_区分)^0)
                   )&gt;0),
                0)
         ),
    "")</f>
        <v/>
      </c>
      <c r="I16" s="25"/>
    </row>
    <row r="17" spans="2:9" x14ac:dyDescent="0.4">
      <c r="B17" s="10">
        <v>10</v>
      </c>
      <c r="C17" s="10"/>
      <c r="D17" s="10"/>
      <c r="E17" s="30"/>
      <c r="F17" s="23" t="str" cm="1">
        <f t="array" ref="F17">IFERROR(
    INDEX(ClassList,
          MATCH(1,
                --(MMULT(
                       --ISNUMBER(SEARCH(UPPER(KeyMatrix), UPPER(D17))),
                       TRANSPOSE(COLUMN(KeyMatrix)^0)
                   )&gt;0),
                0)
         ),
    "")</f>
        <v/>
      </c>
      <c r="G17" s="25"/>
      <c r="H17" s="23" t="str" cm="1">
        <f t="array" ref="H17">IFERROR(
    INDEX(ClassList_区分,
          MATCH(1,
                --(MMULT(
                       --( (KeyMatrix_区分&lt;&gt;"") * ISNUMBER(SEARCH(UPPER(KeyMatrix_区分), UPPER(D17))) ),
                       TRANSPOSE(COLUMN(KeyMatrix_区分)^0)
                   )&gt;0),
                0)
         ),
    "")</f>
        <v/>
      </c>
      <c r="I17" s="25"/>
    </row>
    <row r="18" spans="2:9" x14ac:dyDescent="0.4">
      <c r="B18" s="10">
        <v>11</v>
      </c>
      <c r="C18" s="10"/>
      <c r="D18" s="10"/>
      <c r="E18" s="30"/>
      <c r="F18" s="23" t="str" cm="1">
        <f t="array" ref="F18">IFERROR(
    INDEX(ClassList,
          MATCH(1,
                --(MMULT(
                       --ISNUMBER(SEARCH(UPPER(KeyMatrix), UPPER(D18))),
                       TRANSPOSE(COLUMN(KeyMatrix)^0)
                   )&gt;0),
                0)
         ),
    "")</f>
        <v/>
      </c>
      <c r="G18" s="25"/>
      <c r="H18" s="23" t="str" cm="1">
        <f t="array" ref="H18">IFERROR(
    INDEX(ClassList_区分,
          MATCH(1,
                --(MMULT(
                       --( (KeyMatrix_区分&lt;&gt;"") * ISNUMBER(SEARCH(UPPER(KeyMatrix_区分), UPPER(D18))) ),
                       TRANSPOSE(COLUMN(KeyMatrix_区分)^0)
                   )&gt;0),
                0)
         ),
    "")</f>
        <v/>
      </c>
      <c r="I18" s="25"/>
    </row>
    <row r="19" spans="2:9" x14ac:dyDescent="0.4">
      <c r="B19" s="10">
        <v>12</v>
      </c>
      <c r="C19" s="10"/>
      <c r="D19" s="10"/>
      <c r="E19" s="30"/>
      <c r="F19" s="23" t="str" cm="1">
        <f t="array" ref="F19">IFERROR(
    INDEX(ClassList,
          MATCH(1,
                --(MMULT(
                       --ISNUMBER(SEARCH(UPPER(KeyMatrix), UPPER(D19))),
                       TRANSPOSE(COLUMN(KeyMatrix)^0)
                   )&gt;0),
                0)
         ),
    "")</f>
        <v/>
      </c>
      <c r="G19" s="25"/>
      <c r="H19" s="23" t="str" cm="1">
        <f t="array" ref="H19">IFERROR(
    INDEX(ClassList_区分,
          MATCH(1,
                --(MMULT(
                       --( (KeyMatrix_区分&lt;&gt;"") * ISNUMBER(SEARCH(UPPER(KeyMatrix_区分), UPPER(D19))) ),
                       TRANSPOSE(COLUMN(KeyMatrix_区分)^0)
                   )&gt;0),
                0)
         ),
    "")</f>
        <v/>
      </c>
      <c r="I19" s="25"/>
    </row>
    <row r="20" spans="2:9" x14ac:dyDescent="0.4">
      <c r="B20" s="10">
        <v>13</v>
      </c>
      <c r="C20" s="10"/>
      <c r="D20" s="10"/>
      <c r="E20" s="30"/>
      <c r="F20" s="23" t="str" cm="1">
        <f t="array" ref="F20">IFERROR(
    INDEX(ClassList,
          MATCH(1,
                --(MMULT(
                       --ISNUMBER(SEARCH(UPPER(KeyMatrix), UPPER(D20))),
                       TRANSPOSE(COLUMN(KeyMatrix)^0)
                   )&gt;0),
                0)
         ),
    "")</f>
        <v/>
      </c>
      <c r="G20" s="25"/>
      <c r="H20" s="23" t="str" cm="1">
        <f t="array" ref="H20">IFERROR(
    INDEX(ClassList_区分,
          MATCH(1,
                --(MMULT(
                       --( (KeyMatrix_区分&lt;&gt;"") * ISNUMBER(SEARCH(UPPER(KeyMatrix_区分), UPPER(D20))) ),
                       TRANSPOSE(COLUMN(KeyMatrix_区分)^0)
                   )&gt;0),
                0)
         ),
    "")</f>
        <v/>
      </c>
      <c r="I20" s="25"/>
    </row>
    <row r="21" spans="2:9" x14ac:dyDescent="0.4">
      <c r="B21" s="10">
        <v>14</v>
      </c>
      <c r="C21" s="10"/>
      <c r="D21" s="10"/>
      <c r="E21" s="30"/>
      <c r="F21" s="23" t="str" cm="1">
        <f t="array" ref="F21">IFERROR(
    INDEX(ClassList,
          MATCH(1,
                --(MMULT(
                       --ISNUMBER(SEARCH(UPPER(KeyMatrix), UPPER(D21))),
                       TRANSPOSE(COLUMN(KeyMatrix)^0)
                   )&gt;0),
                0)
         ),
    "")</f>
        <v/>
      </c>
      <c r="G21" s="25"/>
      <c r="H21" s="23" t="str" cm="1">
        <f t="array" ref="H21">IFERROR(
    INDEX(ClassList_区分,
          MATCH(1,
                --(MMULT(
                       --( (KeyMatrix_区分&lt;&gt;"") * ISNUMBER(SEARCH(UPPER(KeyMatrix_区分), UPPER(D21))) ),
                       TRANSPOSE(COLUMN(KeyMatrix_区分)^0)
                   )&gt;0),
                0)
         ),
    "")</f>
        <v/>
      </c>
      <c r="I21" s="25"/>
    </row>
    <row r="22" spans="2:9" x14ac:dyDescent="0.4">
      <c r="B22" s="10">
        <v>15</v>
      </c>
      <c r="C22" s="10"/>
      <c r="D22" s="10"/>
      <c r="E22" s="30"/>
      <c r="F22" s="23" t="str" cm="1">
        <f t="array" ref="F22">IFERROR(
    INDEX(ClassList,
          MATCH(1,
                --(MMULT(
                       --ISNUMBER(SEARCH(UPPER(KeyMatrix), UPPER(D22))),
                       TRANSPOSE(COLUMN(KeyMatrix)^0)
                   )&gt;0),
                0)
         ),
    "")</f>
        <v/>
      </c>
      <c r="G22" s="25"/>
      <c r="H22" s="23" t="str" cm="1">
        <f t="array" ref="H22">IFERROR(
    INDEX(ClassList_区分,
          MATCH(1,
                --(MMULT(
                       --( (KeyMatrix_区分&lt;&gt;"") * ISNUMBER(SEARCH(UPPER(KeyMatrix_区分), UPPER(D22))) ),
                       TRANSPOSE(COLUMN(KeyMatrix_区分)^0)
                   )&gt;0),
                0)
         ),
    "")</f>
        <v/>
      </c>
      <c r="I22" s="25"/>
    </row>
    <row r="25" spans="2:9" x14ac:dyDescent="0.4">
      <c r="F25" s="12"/>
      <c r="G25" s="12"/>
    </row>
  </sheetData>
  <mergeCells count="1">
    <mergeCell ref="B2:E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C4EF2-FAD2-4BB0-9B2D-7EA5932D5D3E}">
  <sheetPr codeName="Sheet5"/>
  <dimension ref="B1:N15"/>
  <sheetViews>
    <sheetView showGridLines="0" tabSelected="1" workbookViewId="0">
      <selection activeCell="E20" sqref="E20"/>
    </sheetView>
  </sheetViews>
  <sheetFormatPr defaultRowHeight="18.75" x14ac:dyDescent="0.4"/>
  <cols>
    <col min="2" max="2" width="5.125" customWidth="1"/>
    <col min="3" max="3" width="18" customWidth="1"/>
    <col min="4" max="4" width="15" customWidth="1"/>
    <col min="5" max="5" width="10" customWidth="1"/>
    <col min="6" max="6" width="9.125" customWidth="1"/>
    <col min="8" max="10" width="10.125" customWidth="1"/>
    <col min="11" max="11" width="2.75" customWidth="1"/>
    <col min="12" max="12" width="17.125" customWidth="1"/>
  </cols>
  <sheetData>
    <row r="1" spans="2:14" x14ac:dyDescent="0.4">
      <c r="C1" s="7" t="s">
        <v>57</v>
      </c>
      <c r="D1" s="8">
        <f ca="1">IF($D$2&lt;&gt;"",$D$2,WORKDAY(TODAY(),-1))</f>
        <v>45863</v>
      </c>
      <c r="E1" s="2" t="str">
        <f ca="1">TEXT(D1,"aaaa")</f>
        <v>金曜日</v>
      </c>
    </row>
    <row r="2" spans="2:14" ht="19.5" thickBot="1" x14ac:dyDescent="0.45">
      <c r="C2" s="5" t="s">
        <v>3</v>
      </c>
      <c r="D2" s="4"/>
      <c r="E2" s="6" t="s">
        <v>66</v>
      </c>
      <c r="I2" s="20"/>
      <c r="J2" s="20"/>
      <c r="K2" s="20"/>
    </row>
    <row r="3" spans="2:14" x14ac:dyDescent="0.4">
      <c r="C3" s="6"/>
      <c r="D3" s="29"/>
      <c r="I3" s="20"/>
      <c r="J3" s="20"/>
      <c r="K3" s="20"/>
    </row>
    <row r="4" spans="2:14" x14ac:dyDescent="0.4">
      <c r="B4" t="s">
        <v>56</v>
      </c>
    </row>
    <row r="5" spans="2:14" x14ac:dyDescent="0.4">
      <c r="B5" s="27" t="s">
        <v>44</v>
      </c>
      <c r="C5" s="27" t="s">
        <v>32</v>
      </c>
      <c r="D5" s="27" t="s">
        <v>45</v>
      </c>
      <c r="E5" s="27" t="s">
        <v>64</v>
      </c>
      <c r="F5" s="27" t="s">
        <v>65</v>
      </c>
      <c r="G5" s="21" t="s">
        <v>46</v>
      </c>
      <c r="H5" s="21" t="s">
        <v>52</v>
      </c>
      <c r="I5" s="21" t="s">
        <v>53</v>
      </c>
      <c r="K5" t="s">
        <v>55</v>
      </c>
    </row>
    <row r="6" spans="2:14" x14ac:dyDescent="0.4">
      <c r="B6" s="1">
        <v>1</v>
      </c>
      <c r="C6" s="1" t="s">
        <v>60</v>
      </c>
      <c r="D6" s="1" t="s">
        <v>58</v>
      </c>
      <c r="E6" s="32">
        <f>SUMPRODUCT(
   (データ取得!$F$8:$F$22=C6)*(データ取得!$H$8:$H$22=D6),
   TIME(INT(データ取得!$E$8:$E$22/100), MOD(データ取得!$E$8:$E$22,100), 0)
)</f>
        <v>0.16736111111111113</v>
      </c>
      <c r="F6" s="1"/>
      <c r="G6" s="1"/>
      <c r="H6" s="1"/>
      <c r="I6" s="1"/>
      <c r="K6" s="28" t="s">
        <v>44</v>
      </c>
      <c r="L6" s="1" t="s">
        <v>32</v>
      </c>
      <c r="M6" s="1" t="s">
        <v>54</v>
      </c>
      <c r="N6" s="1" t="s">
        <v>42</v>
      </c>
    </row>
    <row r="7" spans="2:14" x14ac:dyDescent="0.4">
      <c r="B7" s="1">
        <v>2</v>
      </c>
      <c r="C7" s="1" t="s">
        <v>60</v>
      </c>
      <c r="D7" s="1" t="s">
        <v>58</v>
      </c>
      <c r="E7" s="32">
        <f>SUMPRODUCT(
   (データ取得!$F$8:$F$22=C7)*(データ取得!$H$8:$H$22=D7),
   TIME(INT(データ取得!$E$8:$E$22/100), MOD(データ取得!$E$8:$E$22,100), 0)
)</f>
        <v>0.16736111111111113</v>
      </c>
      <c r="F7" s="1"/>
      <c r="G7" s="1"/>
      <c r="H7" s="1"/>
      <c r="I7" s="1"/>
      <c r="K7" s="1">
        <v>1</v>
      </c>
      <c r="L7" s="1"/>
      <c r="M7" s="1"/>
      <c r="N7" s="1"/>
    </row>
    <row r="8" spans="2:14" x14ac:dyDescent="0.4">
      <c r="B8" s="1">
        <v>3</v>
      </c>
      <c r="C8" s="1" t="s">
        <v>30</v>
      </c>
      <c r="D8" s="1"/>
      <c r="E8" s="32">
        <f>SUMPRODUCT(
   (データ取得!$F$8:$F$22=C8)*(データ取得!$H$8:$H$22=D8),
   TIME(INT(データ取得!$E$8:$E$22/100), MOD(データ取得!$E$8:$E$22,100), 0)
)</f>
        <v>0</v>
      </c>
      <c r="F8" s="1"/>
      <c r="G8" s="1"/>
      <c r="H8" s="1"/>
      <c r="I8" s="1"/>
      <c r="K8" s="1">
        <v>2</v>
      </c>
      <c r="L8" s="1"/>
      <c r="M8" s="1"/>
      <c r="N8" s="1"/>
    </row>
    <row r="9" spans="2:14" x14ac:dyDescent="0.4">
      <c r="B9" s="1">
        <v>4</v>
      </c>
      <c r="C9" s="1" t="s">
        <v>59</v>
      </c>
      <c r="D9" s="1"/>
      <c r="E9" s="32">
        <f>SUMPRODUCT(
   (データ取得!$F$8:$F$22=C9)*(データ取得!$H$8:$H$22=D9),
   TIME(INT(データ取得!$E$8:$E$22/100), MOD(データ取得!$E$8:$E$22,100), 0)
)</f>
        <v>0</v>
      </c>
      <c r="F9" s="1"/>
      <c r="G9" s="1"/>
      <c r="H9" s="1"/>
      <c r="I9" s="1"/>
      <c r="K9" s="1">
        <v>3</v>
      </c>
      <c r="L9" s="1"/>
      <c r="M9" s="1"/>
      <c r="N9" s="1"/>
    </row>
    <row r="10" spans="2:14" x14ac:dyDescent="0.4">
      <c r="B10" s="1">
        <v>5</v>
      </c>
      <c r="C10" s="1" t="s">
        <v>59</v>
      </c>
      <c r="D10" s="1"/>
      <c r="E10" s="32">
        <f>SUMPRODUCT(
   (データ取得!$F$8:$F$22=C10)*(データ取得!$H$8:$H$22=D10),
   TIME(INT(データ取得!$E$8:$E$22/100), MOD(データ取得!$E$8:$E$22,100), 0)
)</f>
        <v>0</v>
      </c>
      <c r="F10" s="1"/>
      <c r="G10" s="1"/>
      <c r="H10" s="1"/>
      <c r="I10" s="1"/>
      <c r="K10" s="1">
        <v>4</v>
      </c>
      <c r="L10" s="1"/>
      <c r="M10" s="1"/>
      <c r="N10" s="1"/>
    </row>
    <row r="11" spans="2:14" x14ac:dyDescent="0.4">
      <c r="B11" s="1">
        <v>6</v>
      </c>
      <c r="C11" s="1" t="s">
        <v>59</v>
      </c>
      <c r="D11" s="1"/>
      <c r="E11" s="32">
        <f>SUMPRODUCT(
   (データ取得!$F$8:$F$22=C11)*(データ取得!$H$8:$H$22=D11),
   TIME(INT(データ取得!$E$8:$E$22/100), MOD(データ取得!$E$8:$E$22,100), 0)
)</f>
        <v>0</v>
      </c>
      <c r="F11" s="1"/>
      <c r="G11" s="1"/>
      <c r="H11" s="1"/>
      <c r="I11" s="1"/>
    </row>
    <row r="12" spans="2:14" x14ac:dyDescent="0.4">
      <c r="B12" s="1">
        <v>7</v>
      </c>
      <c r="C12" s="1"/>
      <c r="D12" s="1"/>
      <c r="E12" s="32">
        <f>SUMPRODUCT(
   (データ取得!$F$8:$F$22=C12)*(データ取得!$H$8:$H$22=D12),
   TIME(INT(データ取得!$E$8:$E$22/100), MOD(データ取得!$E$8:$E$22,100), 0)
)</f>
        <v>0</v>
      </c>
      <c r="F12" s="1"/>
      <c r="G12" s="1"/>
      <c r="H12" s="1"/>
      <c r="I12" s="1"/>
    </row>
    <row r="13" spans="2:14" x14ac:dyDescent="0.4">
      <c r="B13" s="1">
        <v>8</v>
      </c>
      <c r="C13" s="1"/>
      <c r="D13" s="1"/>
      <c r="E13" s="32">
        <f>SUMPRODUCT(
   (データ取得!$F$8:$F$22=C13)*(データ取得!$H$8:$H$22=D13),
   TIME(INT(データ取得!$E$8:$E$22/100), MOD(データ取得!$E$8:$E$22,100), 0)
)</f>
        <v>0</v>
      </c>
      <c r="F13" s="1"/>
      <c r="G13" s="1"/>
      <c r="H13" s="1"/>
      <c r="I13" s="1"/>
    </row>
    <row r="14" spans="2:14" x14ac:dyDescent="0.4">
      <c r="B14" s="1">
        <v>9</v>
      </c>
      <c r="C14" s="1"/>
      <c r="D14" s="1"/>
      <c r="E14" s="32">
        <f>SUMPRODUCT(
   (データ取得!$F$8:$F$22=C14)*(データ取得!$H$8:$H$22=D14),
   TIME(INT(データ取得!$E$8:$E$22/100), MOD(データ取得!$E$8:$E$22,100), 0)
)</f>
        <v>0</v>
      </c>
      <c r="F14" s="1"/>
      <c r="G14" s="1"/>
      <c r="H14" s="1"/>
      <c r="I14" s="1"/>
    </row>
    <row r="15" spans="2:14" x14ac:dyDescent="0.4">
      <c r="B15" s="1">
        <v>10</v>
      </c>
      <c r="C15" s="1"/>
      <c r="D15" s="1"/>
      <c r="E15" s="32">
        <f>SUMPRODUCT(
   (データ取得!$F$8:$F$22=C15)*(データ取得!$H$8:$H$22=D15),
   TIME(INT(データ取得!$E$8:$E$22/100), MOD(データ取得!$E$8:$E$22,100), 0)
)</f>
        <v>0</v>
      </c>
      <c r="F15" s="1"/>
      <c r="G15" s="1"/>
      <c r="H15" s="1"/>
      <c r="I1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83B77-B0B9-4536-963E-DDA46AB4FE64}">
  <sheetPr codeName="Sheet2"/>
  <dimension ref="A4:K32"/>
  <sheetViews>
    <sheetView workbookViewId="0">
      <selection activeCell="G10" sqref="G10"/>
    </sheetView>
  </sheetViews>
  <sheetFormatPr defaultRowHeight="18.75" x14ac:dyDescent="0.4"/>
  <cols>
    <col min="2" max="10" width="12.125" bestFit="1" customWidth="1"/>
    <col min="11" max="11" width="15.125" bestFit="1" customWidth="1"/>
  </cols>
  <sheetData>
    <row r="4" spans="1:11" x14ac:dyDescent="0.4">
      <c r="A4" s="14" t="s">
        <v>9</v>
      </c>
      <c r="B4" s="14" t="s">
        <v>18</v>
      </c>
      <c r="C4" s="14" t="s">
        <v>19</v>
      </c>
      <c r="D4" s="14" t="s">
        <v>20</v>
      </c>
      <c r="E4" s="14" t="s">
        <v>21</v>
      </c>
      <c r="F4" s="14" t="s">
        <v>22</v>
      </c>
      <c r="G4" s="14" t="s">
        <v>23</v>
      </c>
      <c r="H4" s="14" t="s">
        <v>24</v>
      </c>
      <c r="I4" s="14" t="s">
        <v>25</v>
      </c>
      <c r="J4" s="14" t="s">
        <v>26</v>
      </c>
      <c r="K4" s="14" t="s">
        <v>27</v>
      </c>
    </row>
    <row r="5" spans="1:11" x14ac:dyDescent="0.4">
      <c r="A5" s="1" t="s">
        <v>29</v>
      </c>
      <c r="B5" s="1" t="s">
        <v>12</v>
      </c>
      <c r="C5" s="1" t="s">
        <v>13</v>
      </c>
      <c r="D5" s="1"/>
      <c r="E5" s="1"/>
      <c r="F5" s="1"/>
      <c r="G5" s="1"/>
      <c r="H5" s="1"/>
      <c r="I5" s="1"/>
      <c r="J5" s="1"/>
      <c r="K5" s="1"/>
    </row>
    <row r="6" spans="1:11" x14ac:dyDescent="0.4">
      <c r="A6" s="1" t="s">
        <v>11</v>
      </c>
      <c r="B6" s="1" t="s">
        <v>28</v>
      </c>
      <c r="C6" s="1"/>
      <c r="D6" s="1"/>
      <c r="E6" s="1"/>
      <c r="F6" s="1"/>
      <c r="G6" s="1"/>
      <c r="H6" s="1"/>
      <c r="I6" s="1"/>
      <c r="J6" s="1"/>
      <c r="K6" s="1"/>
    </row>
    <row r="7" spans="1:11" x14ac:dyDescent="0.4">
      <c r="A7" s="1" t="s">
        <v>14</v>
      </c>
      <c r="B7" s="1" t="s">
        <v>15</v>
      </c>
      <c r="C7" s="1"/>
      <c r="D7" s="1"/>
      <c r="E7" s="1"/>
      <c r="F7" s="1"/>
      <c r="G7" s="1"/>
      <c r="H7" s="1"/>
      <c r="I7" s="1"/>
      <c r="J7" s="1"/>
      <c r="K7" s="1"/>
    </row>
    <row r="8" spans="1:11" x14ac:dyDescent="0.4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4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4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4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4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4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4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4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4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8" spans="1:11" x14ac:dyDescent="0.4">
      <c r="A18" s="14" t="s">
        <v>10</v>
      </c>
      <c r="B18" s="14" t="s">
        <v>18</v>
      </c>
      <c r="C18" s="14" t="s">
        <v>19</v>
      </c>
      <c r="D18" s="14" t="s">
        <v>20</v>
      </c>
      <c r="E18" s="14" t="s">
        <v>21</v>
      </c>
      <c r="F18" s="14" t="s">
        <v>22</v>
      </c>
      <c r="G18" s="14" t="s">
        <v>23</v>
      </c>
      <c r="H18" s="14" t="s">
        <v>24</v>
      </c>
      <c r="I18" s="14" t="s">
        <v>25</v>
      </c>
      <c r="J18" s="14" t="s">
        <v>26</v>
      </c>
      <c r="K18" s="14" t="s">
        <v>27</v>
      </c>
    </row>
    <row r="19" spans="1:11" x14ac:dyDescent="0.4">
      <c r="A19" s="1" t="s">
        <v>30</v>
      </c>
      <c r="B19" s="1" t="s">
        <v>12</v>
      </c>
      <c r="C19" s="1" t="s">
        <v>13</v>
      </c>
      <c r="D19" s="1"/>
      <c r="E19" s="1"/>
      <c r="F19" s="1"/>
      <c r="G19" s="1"/>
      <c r="H19" s="1"/>
      <c r="I19" s="1"/>
      <c r="J19" s="1"/>
      <c r="K19" s="1"/>
    </row>
    <row r="20" spans="1:11" x14ac:dyDescent="0.4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4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4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4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4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4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4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4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4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4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4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4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4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1A2518-7366-4FBD-88EB-1DB5A33F615D}">
  <sheetPr codeName="Sheet4"/>
  <dimension ref="A2:G41"/>
  <sheetViews>
    <sheetView workbookViewId="0">
      <selection activeCell="E22" sqref="E22"/>
    </sheetView>
  </sheetViews>
  <sheetFormatPr defaultRowHeight="18.75" x14ac:dyDescent="0.4"/>
  <cols>
    <col min="1" max="1" width="7.625" customWidth="1"/>
    <col min="2" max="2" width="13.5" customWidth="1"/>
    <col min="3" max="3" width="13.875" customWidth="1"/>
    <col min="4" max="4" width="14.125" customWidth="1"/>
    <col min="5" max="5" width="15.5" customWidth="1"/>
    <col min="6" max="6" width="16.75" customWidth="1"/>
    <col min="7" max="7" width="15.75" customWidth="1"/>
  </cols>
  <sheetData>
    <row r="2" spans="1:7" x14ac:dyDescent="0.4">
      <c r="B2" s="14" t="s">
        <v>32</v>
      </c>
      <c r="C2" s="14" t="s">
        <v>33</v>
      </c>
      <c r="D2" s="14" t="s">
        <v>34</v>
      </c>
      <c r="E2" s="14" t="s">
        <v>35</v>
      </c>
      <c r="F2" s="14" t="s">
        <v>42</v>
      </c>
    </row>
    <row r="3" spans="1:7" x14ac:dyDescent="0.4">
      <c r="B3" s="1"/>
      <c r="C3" s="1"/>
      <c r="D3" s="1"/>
      <c r="E3" s="1"/>
      <c r="F3" s="1"/>
    </row>
    <row r="4" spans="1:7" x14ac:dyDescent="0.4">
      <c r="B4" s="1"/>
      <c r="C4" s="1"/>
      <c r="D4" s="1"/>
      <c r="E4" s="1"/>
      <c r="F4" s="1"/>
    </row>
    <row r="5" spans="1:7" x14ac:dyDescent="0.4">
      <c r="B5" s="1"/>
      <c r="C5" s="1"/>
      <c r="D5" s="1"/>
      <c r="E5" s="1"/>
      <c r="F5" s="1"/>
    </row>
    <row r="8" spans="1:7" x14ac:dyDescent="0.4">
      <c r="B8" s="17" t="s">
        <v>36</v>
      </c>
      <c r="C8" s="17" t="s">
        <v>37</v>
      </c>
      <c r="D8" s="17" t="s">
        <v>38</v>
      </c>
      <c r="E8" s="17" t="s">
        <v>39</v>
      </c>
      <c r="F8" s="17" t="s">
        <v>40</v>
      </c>
      <c r="G8" s="17" t="s">
        <v>41</v>
      </c>
    </row>
    <row r="9" spans="1:7" x14ac:dyDescent="0.4">
      <c r="A9" t="s">
        <v>43</v>
      </c>
      <c r="B9" s="19">
        <v>45839</v>
      </c>
      <c r="C9" s="18"/>
      <c r="D9" s="18"/>
      <c r="E9" s="18"/>
      <c r="F9" s="18"/>
      <c r="G9" s="18"/>
    </row>
    <row r="10" spans="1:7" x14ac:dyDescent="0.4">
      <c r="B10" s="16">
        <v>45839</v>
      </c>
      <c r="C10" s="1"/>
      <c r="D10" s="1"/>
      <c r="E10" s="1"/>
      <c r="F10" s="1"/>
      <c r="G10" s="1"/>
    </row>
    <row r="11" spans="1:7" x14ac:dyDescent="0.4">
      <c r="B11" s="16">
        <f>B10+1</f>
        <v>45840</v>
      </c>
      <c r="C11" s="1"/>
      <c r="D11" s="1"/>
      <c r="E11" s="1"/>
      <c r="F11" s="1"/>
      <c r="G11" s="1"/>
    </row>
    <row r="12" spans="1:7" x14ac:dyDescent="0.4">
      <c r="B12" s="16">
        <f t="shared" ref="B12:B39" si="0">B11+1</f>
        <v>45841</v>
      </c>
      <c r="C12" s="1"/>
      <c r="D12" s="1"/>
      <c r="E12" s="1"/>
      <c r="F12" s="1"/>
      <c r="G12" s="1"/>
    </row>
    <row r="13" spans="1:7" x14ac:dyDescent="0.4">
      <c r="B13" s="16">
        <f t="shared" si="0"/>
        <v>45842</v>
      </c>
      <c r="C13" s="1"/>
      <c r="D13" s="1"/>
      <c r="E13" s="1"/>
      <c r="F13" s="1"/>
      <c r="G13" s="1"/>
    </row>
    <row r="14" spans="1:7" x14ac:dyDescent="0.4">
      <c r="B14" s="16">
        <f t="shared" si="0"/>
        <v>45843</v>
      </c>
      <c r="C14" s="1"/>
      <c r="D14" s="1"/>
      <c r="E14" s="1"/>
      <c r="F14" s="1"/>
      <c r="G14" s="1"/>
    </row>
    <row r="15" spans="1:7" x14ac:dyDescent="0.4">
      <c r="B15" s="16">
        <f t="shared" si="0"/>
        <v>45844</v>
      </c>
      <c r="C15" s="1"/>
      <c r="D15" s="1"/>
      <c r="E15" s="1"/>
      <c r="F15" s="1"/>
      <c r="G15" s="1"/>
    </row>
    <row r="16" spans="1:7" x14ac:dyDescent="0.4">
      <c r="B16" s="16">
        <f t="shared" si="0"/>
        <v>45845</v>
      </c>
      <c r="C16" s="1"/>
      <c r="D16" s="1"/>
      <c r="E16" s="1"/>
      <c r="F16" s="1"/>
      <c r="G16" s="1"/>
    </row>
    <row r="17" spans="2:7" x14ac:dyDescent="0.4">
      <c r="B17" s="16">
        <f t="shared" si="0"/>
        <v>45846</v>
      </c>
      <c r="C17" s="1"/>
      <c r="D17" s="1"/>
      <c r="E17" s="1"/>
      <c r="F17" s="1"/>
      <c r="G17" s="1"/>
    </row>
    <row r="18" spans="2:7" x14ac:dyDescent="0.4">
      <c r="B18" s="16">
        <f t="shared" si="0"/>
        <v>45847</v>
      </c>
      <c r="C18" s="1"/>
      <c r="D18" s="1"/>
      <c r="E18" s="1"/>
      <c r="F18" s="1"/>
      <c r="G18" s="1"/>
    </row>
    <row r="19" spans="2:7" x14ac:dyDescent="0.4">
      <c r="B19" s="16">
        <f t="shared" si="0"/>
        <v>45848</v>
      </c>
      <c r="C19" s="1"/>
      <c r="D19" s="1"/>
      <c r="E19" s="1"/>
      <c r="F19" s="1"/>
      <c r="G19" s="1"/>
    </row>
    <row r="20" spans="2:7" x14ac:dyDescent="0.4">
      <c r="B20" s="16">
        <f t="shared" si="0"/>
        <v>45849</v>
      </c>
      <c r="C20" s="1"/>
      <c r="D20" s="1"/>
      <c r="E20" s="1"/>
      <c r="F20" s="1"/>
      <c r="G20" s="1"/>
    </row>
    <row r="21" spans="2:7" x14ac:dyDescent="0.4">
      <c r="B21" s="16">
        <f t="shared" si="0"/>
        <v>45850</v>
      </c>
      <c r="C21" s="1"/>
      <c r="D21" s="1"/>
      <c r="E21" s="1"/>
      <c r="F21" s="1"/>
      <c r="G21" s="1"/>
    </row>
    <row r="22" spans="2:7" x14ac:dyDescent="0.4">
      <c r="B22" s="16">
        <f t="shared" si="0"/>
        <v>45851</v>
      </c>
      <c r="C22" s="1"/>
      <c r="D22" s="1"/>
      <c r="E22" s="1"/>
      <c r="F22" s="1"/>
      <c r="G22" s="1"/>
    </row>
    <row r="23" spans="2:7" x14ac:dyDescent="0.4">
      <c r="B23" s="16">
        <f t="shared" si="0"/>
        <v>45852</v>
      </c>
      <c r="C23" s="1"/>
      <c r="D23" s="1"/>
      <c r="E23" s="1"/>
      <c r="F23" s="1"/>
      <c r="G23" s="1"/>
    </row>
    <row r="24" spans="2:7" x14ac:dyDescent="0.4">
      <c r="B24" s="16">
        <f t="shared" si="0"/>
        <v>45853</v>
      </c>
      <c r="C24" s="1"/>
      <c r="D24" s="1"/>
      <c r="E24" s="1"/>
      <c r="F24" s="1"/>
      <c r="G24" s="1"/>
    </row>
    <row r="25" spans="2:7" x14ac:dyDescent="0.4">
      <c r="B25" s="16">
        <f t="shared" si="0"/>
        <v>45854</v>
      </c>
      <c r="C25" s="1"/>
      <c r="D25" s="1"/>
      <c r="E25" s="1"/>
      <c r="F25" s="1"/>
      <c r="G25" s="1"/>
    </row>
    <row r="26" spans="2:7" x14ac:dyDescent="0.4">
      <c r="B26" s="16">
        <f t="shared" si="0"/>
        <v>45855</v>
      </c>
      <c r="C26" s="1"/>
      <c r="D26" s="1"/>
      <c r="E26" s="1"/>
      <c r="F26" s="1"/>
      <c r="G26" s="1"/>
    </row>
    <row r="27" spans="2:7" x14ac:dyDescent="0.4">
      <c r="B27" s="16">
        <f t="shared" si="0"/>
        <v>45856</v>
      </c>
      <c r="C27" s="1"/>
      <c r="D27" s="1"/>
      <c r="E27" s="1"/>
      <c r="F27" s="1"/>
      <c r="G27" s="1"/>
    </row>
    <row r="28" spans="2:7" x14ac:dyDescent="0.4">
      <c r="B28" s="16">
        <f t="shared" si="0"/>
        <v>45857</v>
      </c>
      <c r="C28" s="1"/>
      <c r="D28" s="1"/>
      <c r="E28" s="1"/>
      <c r="F28" s="1"/>
      <c r="G28" s="1"/>
    </row>
    <row r="29" spans="2:7" x14ac:dyDescent="0.4">
      <c r="B29" s="16">
        <f t="shared" si="0"/>
        <v>45858</v>
      </c>
      <c r="C29" s="1"/>
      <c r="D29" s="1"/>
      <c r="E29" s="1"/>
      <c r="F29" s="1"/>
      <c r="G29" s="1"/>
    </row>
    <row r="30" spans="2:7" x14ac:dyDescent="0.4">
      <c r="B30" s="16">
        <f t="shared" si="0"/>
        <v>45859</v>
      </c>
      <c r="C30" s="1"/>
      <c r="D30" s="1"/>
      <c r="E30" s="1"/>
      <c r="F30" s="1"/>
      <c r="G30" s="1"/>
    </row>
    <row r="31" spans="2:7" x14ac:dyDescent="0.4">
      <c r="B31" s="16">
        <f t="shared" si="0"/>
        <v>45860</v>
      </c>
      <c r="C31" s="1"/>
      <c r="D31" s="1"/>
      <c r="E31" s="1"/>
      <c r="F31" s="1"/>
      <c r="G31" s="1"/>
    </row>
    <row r="32" spans="2:7" x14ac:dyDescent="0.4">
      <c r="B32" s="16">
        <f t="shared" si="0"/>
        <v>45861</v>
      </c>
      <c r="C32" s="1"/>
      <c r="D32" s="1"/>
      <c r="E32" s="1"/>
      <c r="F32" s="1"/>
      <c r="G32" s="1"/>
    </row>
    <row r="33" spans="2:7" x14ac:dyDescent="0.4">
      <c r="B33" s="16">
        <f t="shared" si="0"/>
        <v>45862</v>
      </c>
      <c r="C33" s="1"/>
      <c r="D33" s="1"/>
      <c r="E33" s="1"/>
      <c r="F33" s="1"/>
      <c r="G33" s="1"/>
    </row>
    <row r="34" spans="2:7" x14ac:dyDescent="0.4">
      <c r="B34" s="16">
        <f>B33+1</f>
        <v>45863</v>
      </c>
      <c r="C34" s="1"/>
      <c r="D34" s="1"/>
      <c r="E34" s="1"/>
      <c r="F34" s="1"/>
      <c r="G34" s="1"/>
    </row>
    <row r="35" spans="2:7" x14ac:dyDescent="0.4">
      <c r="B35" s="16">
        <f t="shared" si="0"/>
        <v>45864</v>
      </c>
      <c r="C35" s="1"/>
      <c r="D35" s="1"/>
      <c r="E35" s="1"/>
      <c r="F35" s="1"/>
      <c r="G35" s="1"/>
    </row>
    <row r="36" spans="2:7" x14ac:dyDescent="0.4">
      <c r="B36" s="16">
        <f t="shared" si="0"/>
        <v>45865</v>
      </c>
      <c r="C36" s="1"/>
      <c r="D36" s="1"/>
      <c r="E36" s="1"/>
      <c r="F36" s="1"/>
      <c r="G36" s="1"/>
    </row>
    <row r="37" spans="2:7" x14ac:dyDescent="0.4">
      <c r="B37" s="16">
        <f t="shared" si="0"/>
        <v>45866</v>
      </c>
      <c r="C37" s="1"/>
      <c r="D37" s="1"/>
      <c r="E37" s="1"/>
      <c r="F37" s="1"/>
      <c r="G37" s="1"/>
    </row>
    <row r="38" spans="2:7" x14ac:dyDescent="0.4">
      <c r="B38" s="16">
        <f t="shared" si="0"/>
        <v>45867</v>
      </c>
      <c r="C38" s="1"/>
      <c r="D38" s="1"/>
      <c r="E38" s="1"/>
      <c r="F38" s="1"/>
      <c r="G38" s="1"/>
    </row>
    <row r="39" spans="2:7" x14ac:dyDescent="0.4">
      <c r="B39" s="16">
        <f t="shared" si="0"/>
        <v>45868</v>
      </c>
      <c r="C39" s="1"/>
      <c r="D39" s="1"/>
      <c r="E39" s="1"/>
      <c r="F39" s="1"/>
      <c r="G39" s="1"/>
    </row>
    <row r="40" spans="2:7" x14ac:dyDescent="0.4">
      <c r="B40" s="16">
        <f>B39+1</f>
        <v>45869</v>
      </c>
      <c r="C40" s="1"/>
      <c r="D40" s="1"/>
      <c r="E40" s="1"/>
      <c r="F40" s="1"/>
      <c r="G40" s="1"/>
    </row>
    <row r="41" spans="2:7" x14ac:dyDescent="0.4">
      <c r="B41" s="16"/>
      <c r="C41" s="16"/>
      <c r="D41" s="16"/>
      <c r="E41" s="16"/>
      <c r="F41" s="16"/>
      <c r="G41" s="1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45195-BD62-47CE-966F-CF4D10CFC98A}">
  <sheetPr codeName="Sheet3"/>
  <dimension ref="C5:D8"/>
  <sheetViews>
    <sheetView topLeftCell="A2" workbookViewId="0">
      <selection activeCell="D9" sqref="D9"/>
    </sheetView>
  </sheetViews>
  <sheetFormatPr defaultRowHeight="18.75" x14ac:dyDescent="0.4"/>
  <cols>
    <col min="3" max="3" width="74.375" customWidth="1"/>
    <col min="4" max="4" width="87.125" customWidth="1"/>
  </cols>
  <sheetData>
    <row r="5" spans="3:4" ht="187.5" x14ac:dyDescent="0.4">
      <c r="C5" s="12" t="s">
        <v>16</v>
      </c>
      <c r="D5" s="13" t="s">
        <v>17</v>
      </c>
    </row>
    <row r="8" spans="3:4" ht="206.25" x14ac:dyDescent="0.4">
      <c r="C8" s="13" t="s">
        <v>47</v>
      </c>
      <c r="D8" s="13" t="s">
        <v>48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データ取得</vt:lpstr>
      <vt:lpstr>データ登録</vt:lpstr>
      <vt:lpstr>Master</vt:lpstr>
      <vt:lpstr>月次データ</vt:lpstr>
      <vt:lpstr>Sheet3</vt:lpstr>
      <vt:lpstr>ClassList</vt:lpstr>
      <vt:lpstr>ClassList_区分</vt:lpstr>
      <vt:lpstr>KeyMatrix</vt:lpstr>
      <vt:lpstr>KeyMatrix_区分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Akihiro Katsuda</dc:creator>
  <cp:lastModifiedBy>Akihiro Katsuda</cp:lastModifiedBy>
  <dcterms:created xsi:type="dcterms:W3CDTF">2025-07-24T13:08:00Z</dcterms:created>
  <dcterms:modified xsi:type="dcterms:W3CDTF">2025-07-27T23:33:17Z</dcterms:modified>
</cp:coreProperties>
</file>